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ule4_Transaction" sheetId="1" state="visible" r:id="rId3"/>
    <sheet name="Transaction_Data" sheetId="2" state="visible" r:id="rId4"/>
    <sheet name="Branch_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<sst xmlns="http://schemas.openxmlformats.org/spreadsheetml/2006/main" count="20559" uniqueCount="3687">
  <si>
    <t xml:space="preserve">MODULE 4 · TRANSACTION ANALYTICS</t>
  </si>
  <si>
    <t xml:space="preserve">Banking &amp; Financial Analytics Platform (Group 4)  |  Source: Transaction_Data (2,500 rows, Jan-2025 to Sep-2026)  |  Amounts in INR; volume shown in ₹ Lakh (1 Lakh = 100,000)</t>
  </si>
  <si>
    <t xml:space="preserve">Filter helper cells (auto)</t>
  </si>
  <si>
    <t xml:space="preserve">Filter: City</t>
  </si>
  <si>
    <t xml:space="preserve">All</t>
  </si>
  <si>
    <t xml:space="preserve">Filter: Year</t>
  </si>
  <si>
    <t xml:space="preserve">◄ pick from the dropdowns (yellow cells)</t>
  </si>
  <si>
    <t xml:space="preserve">City criterion</t>
  </si>
  <si>
    <t xml:space="preserve">From date</t>
  </si>
  <si>
    <t xml:space="preserve">TOTAL TRANSACTIONS</t>
  </si>
  <si>
    <t xml:space="preserve">TOTAL VOLUME (₹ CRORE)</t>
  </si>
  <si>
    <t xml:space="preserve">AVG TICKET SIZE (₹)</t>
  </si>
  <si>
    <t xml:space="preserve">SUCCESS RATE</t>
  </si>
  <si>
    <t xml:space="preserve">FAILED RATE</t>
  </si>
  <si>
    <t xml:space="preserve">PENDING RATE</t>
  </si>
  <si>
    <t xml:space="preserve">INTERNATIONAL SHARE</t>
  </si>
  <si>
    <t xml:space="preserve">To date (excl.)</t>
  </si>
  <si>
    <t xml:space="preserve">Notes: Filters (yellow cells C4 / F4) drive every KPI, table and chart except where a heading says otherwise. Ranges read rows 2–5000 so appended data is picked up automatically. Category and month lists are typed in blue.</t>
  </si>
  <si>
    <t xml:space="preserve">CHART DATA &amp; SUMMARY TABLES  (all cells are live formulas on Transaction_Data; blue = hard-coded inputs/labels)</t>
  </si>
  <si>
    <t xml:space="preserve">A. Monthly trend (City filter applies; all years shown)</t>
  </si>
  <si>
    <t xml:space="preserve">D. By status</t>
  </si>
  <si>
    <t xml:space="preserve">Month start</t>
  </si>
  <si>
    <t xml:space="preserve">Month</t>
  </si>
  <si>
    <t xml:space="preserve">Transactions</t>
  </si>
  <si>
    <t xml:space="preserve">Volume (₹ Lakh)</t>
  </si>
  <si>
    <t xml:space="preserve">Success rate</t>
  </si>
  <si>
    <t xml:space="preserve">Status</t>
  </si>
  <si>
    <t xml:space="preserve">Share</t>
  </si>
  <si>
    <t xml:space="preserve">Success</t>
  </si>
  <si>
    <t xml:space="preserve">Failed</t>
  </si>
  <si>
    <t xml:space="preserve">Pending</t>
  </si>
  <si>
    <t xml:space="preserve">E. Domestic vs International</t>
  </si>
  <si>
    <t xml:space="preserve">Geography</t>
  </si>
  <si>
    <t xml:space="preserve">Domestic</t>
  </si>
  <si>
    <t xml:space="preserve">International</t>
  </si>
  <si>
    <t xml:space="preserve">F. By city (Year filter only)</t>
  </si>
  <si>
    <t xml:space="preserve">City</t>
  </si>
  <si>
    <t xml:space="preserve">Avg ticket (₹)</t>
  </si>
  <si>
    <t xml:space="preserve">Success %</t>
  </si>
  <si>
    <t xml:space="preserve">Bengaluru</t>
  </si>
  <si>
    <t xml:space="preserve">Chennai</t>
  </si>
  <si>
    <t xml:space="preserve">Delhi</t>
  </si>
  <si>
    <t xml:space="preserve">Hyderabad</t>
  </si>
  <si>
    <t xml:space="preserve">Jaipur</t>
  </si>
  <si>
    <t xml:space="preserve">Kolkata</t>
  </si>
  <si>
    <t xml:space="preserve">Lucknow</t>
  </si>
  <si>
    <t xml:space="preserve">Mumbai</t>
  </si>
  <si>
    <t xml:space="preserve">Noida</t>
  </si>
  <si>
    <t xml:space="preserve">Pune</t>
  </si>
  <si>
    <t xml:space="preserve">B. By transaction type</t>
  </si>
  <si>
    <t xml:space="preserve">Transaction type</t>
  </si>
  <si>
    <t xml:space="preserve">Failed %</t>
  </si>
  <si>
    <t xml:space="preserve">Pending %</t>
  </si>
  <si>
    <t xml:space="preserve">ATM</t>
  </si>
  <si>
    <t xml:space="preserve">G. Top 10 branches by volume (respects City &amp; Year filters)</t>
  </si>
  <si>
    <t xml:space="preserve">Card</t>
  </si>
  <si>
    <t xml:space="preserve">Rank</t>
  </si>
  <si>
    <t xml:space="preserve">Branch</t>
  </si>
  <si>
    <t xml:space="preserve">Cash Deposit</t>
  </si>
  <si>
    <t xml:space="preserve">Cash Withdrawal</t>
  </si>
  <si>
    <t xml:space="preserve">IMPS</t>
  </si>
  <si>
    <t xml:space="preserve">NEFT</t>
  </si>
  <si>
    <t xml:space="preserve">UPI</t>
  </si>
  <si>
    <t xml:space="preserve">C. By channel</t>
  </si>
  <si>
    <t xml:space="preserve">Channel</t>
  </si>
  <si>
    <t xml:space="preserve">Internet Banking</t>
  </si>
  <si>
    <t xml:space="preserve">Mobile App</t>
  </si>
  <si>
    <t xml:space="preserve">Branch helper (all 30 branches, linked to Branch_Data)</t>
  </si>
  <si>
    <t xml:space="preserve">POS</t>
  </si>
  <si>
    <t xml:space="preserve">Txns</t>
  </si>
  <si>
    <t xml:space="preserve">Rank key</t>
  </si>
  <si>
    <t xml:space="preserve">Transaction_ID</t>
  </si>
  <si>
    <t xml:space="preserve">Customer_ID</t>
  </si>
  <si>
    <t xml:space="preserve">Loan_ID</t>
  </si>
  <si>
    <t xml:space="preserve">Transaction_Date</t>
  </si>
  <si>
    <t xml:space="preserve">Transaction_Type</t>
  </si>
  <si>
    <t xml:space="preserve">Amount_INR</t>
  </si>
  <si>
    <t xml:space="preserve">Transaction_Status</t>
  </si>
  <si>
    <t xml:space="preserve">TXN000001</t>
  </si>
  <si>
    <t xml:space="preserve">CUST0179</t>
  </si>
  <si>
    <t xml:space="preserve">Park Street</t>
  </si>
  <si>
    <t xml:space="preserve">TXN000002</t>
  </si>
  <si>
    <t xml:space="preserve">CUST0197</t>
  </si>
  <si>
    <t xml:space="preserve">T Nagar</t>
  </si>
  <si>
    <t xml:space="preserve">TXN000003</t>
  </si>
  <si>
    <t xml:space="preserve">CUST0365</t>
  </si>
  <si>
    <t xml:space="preserve">Rohini</t>
  </si>
  <si>
    <t xml:space="preserve">TXN000004</t>
  </si>
  <si>
    <t xml:space="preserve">CUST0639</t>
  </si>
  <si>
    <t xml:space="preserve">OMR</t>
  </si>
  <si>
    <t xml:space="preserve">TXN000005</t>
  </si>
  <si>
    <t xml:space="preserve">CUST0571</t>
  </si>
  <si>
    <t xml:space="preserve">LN00779</t>
  </si>
  <si>
    <t xml:space="preserve">TXN000006</t>
  </si>
  <si>
    <t xml:space="preserve">CUST0175</t>
  </si>
  <si>
    <t xml:space="preserve">Hazratganj</t>
  </si>
  <si>
    <t xml:space="preserve">TXN000007</t>
  </si>
  <si>
    <t xml:space="preserve">CUST0027</t>
  </si>
  <si>
    <t xml:space="preserve">Electronic City</t>
  </si>
  <si>
    <t xml:space="preserve">TXN000008</t>
  </si>
  <si>
    <t xml:space="preserve">CUST0290</t>
  </si>
  <si>
    <t xml:space="preserve">LN00910</t>
  </si>
  <si>
    <t xml:space="preserve">C-Scheme</t>
  </si>
  <si>
    <t xml:space="preserve">TXN000009</t>
  </si>
  <si>
    <t xml:space="preserve">CUST0515</t>
  </si>
  <si>
    <t xml:space="preserve">Banjara Hills</t>
  </si>
  <si>
    <t xml:space="preserve">TXN000010</t>
  </si>
  <si>
    <t xml:space="preserve">CUST0635</t>
  </si>
  <si>
    <t xml:space="preserve">Sector 62</t>
  </si>
  <si>
    <t xml:space="preserve">TXN000011</t>
  </si>
  <si>
    <t xml:space="preserve">CUST0305</t>
  </si>
  <si>
    <t xml:space="preserve">Hinjewadi</t>
  </si>
  <si>
    <t xml:space="preserve">TXN000012</t>
  </si>
  <si>
    <t xml:space="preserve">CUST0388</t>
  </si>
  <si>
    <t xml:space="preserve">Camp</t>
  </si>
  <si>
    <t xml:space="preserve">TXN000013</t>
  </si>
  <si>
    <t xml:space="preserve">CUST0103</t>
  </si>
  <si>
    <t xml:space="preserve">Vaishali Nagar</t>
  </si>
  <si>
    <t xml:space="preserve">TXN000014</t>
  </si>
  <si>
    <t xml:space="preserve">CUST0145</t>
  </si>
  <si>
    <t xml:space="preserve">LN00447</t>
  </si>
  <si>
    <t xml:space="preserve">Bandra</t>
  </si>
  <si>
    <t xml:space="preserve">TXN000015</t>
  </si>
  <si>
    <t xml:space="preserve">CUST0633</t>
  </si>
  <si>
    <t xml:space="preserve">TXN000016</t>
  </si>
  <si>
    <t xml:space="preserve">CUST0372</t>
  </si>
  <si>
    <t xml:space="preserve">TXN000017</t>
  </si>
  <si>
    <t xml:space="preserve">CUST0014</t>
  </si>
  <si>
    <t xml:space="preserve">TXN000018</t>
  </si>
  <si>
    <t xml:space="preserve">CUST0349</t>
  </si>
  <si>
    <t xml:space="preserve">TXN000019</t>
  </si>
  <si>
    <t xml:space="preserve">CUST0286</t>
  </si>
  <si>
    <t xml:space="preserve">Salt Lake</t>
  </si>
  <si>
    <t xml:space="preserve">TXN000020</t>
  </si>
  <si>
    <t xml:space="preserve">CUST0524</t>
  </si>
  <si>
    <t xml:space="preserve">TXN000021</t>
  </si>
  <si>
    <t xml:space="preserve">CUST0441</t>
  </si>
  <si>
    <t xml:space="preserve">Secunderabad</t>
  </si>
  <si>
    <t xml:space="preserve">TXN000022</t>
  </si>
  <si>
    <t xml:space="preserve">CUST0235</t>
  </si>
  <si>
    <t xml:space="preserve">TXN000023</t>
  </si>
  <si>
    <t xml:space="preserve">CUST0550</t>
  </si>
  <si>
    <t xml:space="preserve">LN01058</t>
  </si>
  <si>
    <t xml:space="preserve">TXN000024</t>
  </si>
  <si>
    <t xml:space="preserve">CUST0726</t>
  </si>
  <si>
    <t xml:space="preserve">MG Road</t>
  </si>
  <si>
    <t xml:space="preserve">TXN000025</t>
  </si>
  <si>
    <t xml:space="preserve">CUST0250</t>
  </si>
  <si>
    <t xml:space="preserve">Thane</t>
  </si>
  <si>
    <t xml:space="preserve">TXN000026</t>
  </si>
  <si>
    <t xml:space="preserve">CUST0058</t>
  </si>
  <si>
    <t xml:space="preserve">Aliganj</t>
  </si>
  <si>
    <t xml:space="preserve">TXN000027</t>
  </si>
  <si>
    <t xml:space="preserve">CUST0273</t>
  </si>
  <si>
    <t xml:space="preserve">TXN000028</t>
  </si>
  <si>
    <t xml:space="preserve">CUST0674</t>
  </si>
  <si>
    <t xml:space="preserve">TXN000029</t>
  </si>
  <si>
    <t xml:space="preserve">TXN000030</t>
  </si>
  <si>
    <t xml:space="preserve">CUST0748</t>
  </si>
  <si>
    <t xml:space="preserve">TXN000031</t>
  </si>
  <si>
    <t xml:space="preserve">CUST0499</t>
  </si>
  <si>
    <t xml:space="preserve">TXN000032</t>
  </si>
  <si>
    <t xml:space="preserve">CUST0167</t>
  </si>
  <si>
    <t xml:space="preserve">TXN000033</t>
  </si>
  <si>
    <t xml:space="preserve">CUST0643</t>
  </si>
  <si>
    <t xml:space="preserve">LN00874</t>
  </si>
  <si>
    <t xml:space="preserve">Sector 18</t>
  </si>
  <si>
    <t xml:space="preserve">TXN000034</t>
  </si>
  <si>
    <t xml:space="preserve">CUST0509</t>
  </si>
  <si>
    <t xml:space="preserve">TXN000035</t>
  </si>
  <si>
    <t xml:space="preserve">CUST0536</t>
  </si>
  <si>
    <t xml:space="preserve">TXN000036</t>
  </si>
  <si>
    <t xml:space="preserve">CUST0115</t>
  </si>
  <si>
    <t xml:space="preserve">TXN000037</t>
  </si>
  <si>
    <t xml:space="preserve">CUST0135</t>
  </si>
  <si>
    <t xml:space="preserve">TXN000038</t>
  </si>
  <si>
    <t xml:space="preserve">CUST0562</t>
  </si>
  <si>
    <t xml:space="preserve">Whitefield</t>
  </si>
  <si>
    <t xml:space="preserve">TXN000039</t>
  </si>
  <si>
    <t xml:space="preserve">TXN000040</t>
  </si>
  <si>
    <t xml:space="preserve">TXN000041</t>
  </si>
  <si>
    <t xml:space="preserve">CUST0446</t>
  </si>
  <si>
    <t xml:space="preserve">TXN000042</t>
  </si>
  <si>
    <t xml:space="preserve">CUST0397</t>
  </si>
  <si>
    <t xml:space="preserve">TXN000043</t>
  </si>
  <si>
    <t xml:space="preserve">CUST0782</t>
  </si>
  <si>
    <t xml:space="preserve">LN01023</t>
  </si>
  <si>
    <t xml:space="preserve">TXN000044</t>
  </si>
  <si>
    <t xml:space="preserve">CUST0707</t>
  </si>
  <si>
    <t xml:space="preserve">LN00424</t>
  </si>
  <si>
    <t xml:space="preserve">TXN000045</t>
  </si>
  <si>
    <t xml:space="preserve">CUST0789</t>
  </si>
  <si>
    <t xml:space="preserve">TXN000046</t>
  </si>
  <si>
    <t xml:space="preserve">CUST0192</t>
  </si>
  <si>
    <t xml:space="preserve">TXN000047</t>
  </si>
  <si>
    <t xml:space="preserve">CUST0165</t>
  </si>
  <si>
    <t xml:space="preserve">TXN000048</t>
  </si>
  <si>
    <t xml:space="preserve">CUST0295</t>
  </si>
  <si>
    <t xml:space="preserve">LN00421</t>
  </si>
  <si>
    <t xml:space="preserve">TXN000049</t>
  </si>
  <si>
    <t xml:space="preserve">CUST0739</t>
  </si>
  <si>
    <t xml:space="preserve">Malviya Nagar</t>
  </si>
  <si>
    <t xml:space="preserve">TXN000050</t>
  </si>
  <si>
    <t xml:space="preserve">CUST0412</t>
  </si>
  <si>
    <t xml:space="preserve">TXN000051</t>
  </si>
  <si>
    <t xml:space="preserve">CUST0580</t>
  </si>
  <si>
    <t xml:space="preserve">TXN000052</t>
  </si>
  <si>
    <t xml:space="preserve">CUST0627</t>
  </si>
  <si>
    <t xml:space="preserve">TXN000053</t>
  </si>
  <si>
    <t xml:space="preserve">CUST0637</t>
  </si>
  <si>
    <t xml:space="preserve">TXN000054</t>
  </si>
  <si>
    <t xml:space="preserve">CUST0429</t>
  </si>
  <si>
    <t xml:space="preserve">Kothrud</t>
  </si>
  <si>
    <t xml:space="preserve">TXN000055</t>
  </si>
  <si>
    <t xml:space="preserve">CUST0199</t>
  </si>
  <si>
    <t xml:space="preserve">TXN000056</t>
  </si>
  <si>
    <t xml:space="preserve">CUST0351</t>
  </si>
  <si>
    <t xml:space="preserve">Gomti Nagar</t>
  </si>
  <si>
    <t xml:space="preserve">TXN000057</t>
  </si>
  <si>
    <t xml:space="preserve">CUST0710</t>
  </si>
  <si>
    <t xml:space="preserve">TXN000058</t>
  </si>
  <si>
    <t xml:space="preserve">CUST0467</t>
  </si>
  <si>
    <t xml:space="preserve">TXN000059</t>
  </si>
  <si>
    <t xml:space="preserve">CUST0747</t>
  </si>
  <si>
    <t xml:space="preserve">TXN000060</t>
  </si>
  <si>
    <t xml:space="preserve">CUST0735</t>
  </si>
  <si>
    <t xml:space="preserve">New Town</t>
  </si>
  <si>
    <t xml:space="preserve">TXN000061</t>
  </si>
  <si>
    <t xml:space="preserve">CUST0130</t>
  </si>
  <si>
    <t xml:space="preserve">TXN000062</t>
  </si>
  <si>
    <t xml:space="preserve">TXN000063</t>
  </si>
  <si>
    <t xml:space="preserve">CUST0227</t>
  </si>
  <si>
    <t xml:space="preserve">TXN000064</t>
  </si>
  <si>
    <t xml:space="preserve">CUST0547</t>
  </si>
  <si>
    <t xml:space="preserve">TXN000065</t>
  </si>
  <si>
    <t xml:space="preserve">CUST0005</t>
  </si>
  <si>
    <t xml:space="preserve">TXN000066</t>
  </si>
  <si>
    <t xml:space="preserve">CUST0422</t>
  </si>
  <si>
    <t xml:space="preserve">TXN000067</t>
  </si>
  <si>
    <t xml:space="preserve">CUST0314</t>
  </si>
  <si>
    <t xml:space="preserve">TXN000068</t>
  </si>
  <si>
    <t xml:space="preserve">CUST0288</t>
  </si>
  <si>
    <t xml:space="preserve">Andheri</t>
  </si>
  <si>
    <t xml:space="preserve">TXN000069</t>
  </si>
  <si>
    <t xml:space="preserve">CUST0729</t>
  </si>
  <si>
    <t xml:space="preserve">Sector 50</t>
  </si>
  <si>
    <t xml:space="preserve">TXN000070</t>
  </si>
  <si>
    <t xml:space="preserve">CUST0664</t>
  </si>
  <si>
    <t xml:space="preserve">TXN000071</t>
  </si>
  <si>
    <t xml:space="preserve">TXN000072</t>
  </si>
  <si>
    <t xml:space="preserve">CUST0453</t>
  </si>
  <si>
    <t xml:space="preserve">TXN000073</t>
  </si>
  <si>
    <t xml:space="preserve">CUST0681</t>
  </si>
  <si>
    <t xml:space="preserve">Anna Nagar</t>
  </si>
  <si>
    <t xml:space="preserve">TXN000074</t>
  </si>
  <si>
    <t xml:space="preserve">CUST0398</t>
  </si>
  <si>
    <t xml:space="preserve">TXN000075</t>
  </si>
  <si>
    <t xml:space="preserve">CUST0147</t>
  </si>
  <si>
    <t xml:space="preserve">TXN000076</t>
  </si>
  <si>
    <t xml:space="preserve">CUST0214</t>
  </si>
  <si>
    <t xml:space="preserve">TXN000077</t>
  </si>
  <si>
    <t xml:space="preserve">CUST0238</t>
  </si>
  <si>
    <t xml:space="preserve">TXN000078</t>
  </si>
  <si>
    <t xml:space="preserve">CUST0484</t>
  </si>
  <si>
    <t xml:space="preserve">TXN000079</t>
  </si>
  <si>
    <t xml:space="preserve">CUST0358</t>
  </si>
  <si>
    <t xml:space="preserve">TXN000080</t>
  </si>
  <si>
    <t xml:space="preserve">CUST0231</t>
  </si>
  <si>
    <t xml:space="preserve">TXN000081</t>
  </si>
  <si>
    <t xml:space="preserve">CUST0386</t>
  </si>
  <si>
    <t xml:space="preserve">TXN000082</t>
  </si>
  <si>
    <t xml:space="preserve">CUST0381</t>
  </si>
  <si>
    <t xml:space="preserve">Delhi Central</t>
  </si>
  <si>
    <t xml:space="preserve">TXN000083</t>
  </si>
  <si>
    <t xml:space="preserve">CUST0073</t>
  </si>
  <si>
    <t xml:space="preserve">TXN000084</t>
  </si>
  <si>
    <t xml:space="preserve">TXN000085</t>
  </si>
  <si>
    <t xml:space="preserve">CUST0321</t>
  </si>
  <si>
    <t xml:space="preserve">TXN000086</t>
  </si>
  <si>
    <t xml:space="preserve">TXN000087</t>
  </si>
  <si>
    <t xml:space="preserve">CUST0714</t>
  </si>
  <si>
    <t xml:space="preserve">LN01072</t>
  </si>
  <si>
    <t xml:space="preserve">TXN000088</t>
  </si>
  <si>
    <t xml:space="preserve">CUST0019</t>
  </si>
  <si>
    <t xml:space="preserve">TXN000089</t>
  </si>
  <si>
    <t xml:space="preserve">TXN000090</t>
  </si>
  <si>
    <t xml:space="preserve">CUST0671</t>
  </si>
  <si>
    <t xml:space="preserve">TXN000091</t>
  </si>
  <si>
    <t xml:space="preserve">CUST0668</t>
  </si>
  <si>
    <t xml:space="preserve">TXN000092</t>
  </si>
  <si>
    <t xml:space="preserve">TXN000093</t>
  </si>
  <si>
    <t xml:space="preserve">CUST0785</t>
  </si>
  <si>
    <t xml:space="preserve">LN00810</t>
  </si>
  <si>
    <t xml:space="preserve">Dwarka</t>
  </si>
  <si>
    <t xml:space="preserve">TXN000094</t>
  </si>
  <si>
    <t xml:space="preserve">CUST0663</t>
  </si>
  <si>
    <t xml:space="preserve">TXN000095</t>
  </si>
  <si>
    <t xml:space="preserve">CUST0364</t>
  </si>
  <si>
    <t xml:space="preserve">TXN000096</t>
  </si>
  <si>
    <t xml:space="preserve">CUST0022</t>
  </si>
  <si>
    <t xml:space="preserve">TXN000097</t>
  </si>
  <si>
    <t xml:space="preserve">CUST0767</t>
  </si>
  <si>
    <t xml:space="preserve">TXN000098</t>
  </si>
  <si>
    <t xml:space="preserve">TXN000099</t>
  </si>
  <si>
    <t xml:space="preserve">CUST0068</t>
  </si>
  <si>
    <t xml:space="preserve">TXN000100</t>
  </si>
  <si>
    <t xml:space="preserve">TXN000101</t>
  </si>
  <si>
    <t xml:space="preserve">CUST0787</t>
  </si>
  <si>
    <t xml:space="preserve">LN00975</t>
  </si>
  <si>
    <t xml:space="preserve">TXN000102</t>
  </si>
  <si>
    <t xml:space="preserve">CUST0326</t>
  </si>
  <si>
    <t xml:space="preserve">TXN000103</t>
  </si>
  <si>
    <t xml:space="preserve">CUST0457</t>
  </si>
  <si>
    <t xml:space="preserve">LN00985</t>
  </si>
  <si>
    <t xml:space="preserve">TXN000104</t>
  </si>
  <si>
    <t xml:space="preserve">CUST0317</t>
  </si>
  <si>
    <t xml:space="preserve">TXN000105</t>
  </si>
  <si>
    <t xml:space="preserve">CUST0247</t>
  </si>
  <si>
    <t xml:space="preserve">LN00774</t>
  </si>
  <si>
    <t xml:space="preserve">TXN000106</t>
  </si>
  <si>
    <t xml:space="preserve">LN00104</t>
  </si>
  <si>
    <t xml:space="preserve">TXN000107</t>
  </si>
  <si>
    <t xml:space="preserve">CUST0540</t>
  </si>
  <si>
    <t xml:space="preserve">TXN000108</t>
  </si>
  <si>
    <t xml:space="preserve">CUST0300</t>
  </si>
  <si>
    <t xml:space="preserve">TXN000109</t>
  </si>
  <si>
    <t xml:space="preserve">CUST0638</t>
  </si>
  <si>
    <t xml:space="preserve">TXN000110</t>
  </si>
  <si>
    <t xml:space="preserve">CUST0737</t>
  </si>
  <si>
    <t xml:space="preserve">TXN000111</t>
  </si>
  <si>
    <t xml:space="preserve">CUST0195</t>
  </si>
  <si>
    <t xml:space="preserve">LN00716</t>
  </si>
  <si>
    <t xml:space="preserve">TXN000112</t>
  </si>
  <si>
    <t xml:space="preserve">CUST0587</t>
  </si>
  <si>
    <t xml:space="preserve">TXN000113</t>
  </si>
  <si>
    <t xml:space="preserve">CUST0338</t>
  </si>
  <si>
    <t xml:space="preserve">TXN000114</t>
  </si>
  <si>
    <t xml:space="preserve">CUST0480</t>
  </si>
  <si>
    <t xml:space="preserve">TXN000115</t>
  </si>
  <si>
    <t xml:space="preserve">CUST0510</t>
  </si>
  <si>
    <t xml:space="preserve">LN01080</t>
  </si>
  <si>
    <t xml:space="preserve">TXN000116</t>
  </si>
  <si>
    <t xml:space="preserve">CUST0405</t>
  </si>
  <si>
    <t xml:space="preserve">TXN000117</t>
  </si>
  <si>
    <t xml:space="preserve">CUST0193</t>
  </si>
  <si>
    <t xml:space="preserve">TXN000118</t>
  </si>
  <si>
    <t xml:space="preserve">CUST0114</t>
  </si>
  <si>
    <t xml:space="preserve">TXN000119</t>
  </si>
  <si>
    <t xml:space="preserve">CUST0749</t>
  </si>
  <si>
    <t xml:space="preserve">TXN000120</t>
  </si>
  <si>
    <t xml:space="preserve">CUST0406</t>
  </si>
  <si>
    <t xml:space="preserve">TXN000121</t>
  </si>
  <si>
    <t xml:space="preserve">CUST0531</t>
  </si>
  <si>
    <t xml:space="preserve">TXN000122</t>
  </si>
  <si>
    <t xml:space="preserve">CUST0762</t>
  </si>
  <si>
    <t xml:space="preserve">TXN000123</t>
  </si>
  <si>
    <t xml:space="preserve">CUST0385</t>
  </si>
  <si>
    <t xml:space="preserve">TXN000124</t>
  </si>
  <si>
    <t xml:space="preserve">CUST0119</t>
  </si>
  <si>
    <t xml:space="preserve">TXN000125</t>
  </si>
  <si>
    <t xml:space="preserve">CUST0274</t>
  </si>
  <si>
    <t xml:space="preserve">TXN000126</t>
  </si>
  <si>
    <t xml:space="preserve">CUST0466</t>
  </si>
  <si>
    <t xml:space="preserve">LN00439</t>
  </si>
  <si>
    <t xml:space="preserve">TXN000127</t>
  </si>
  <si>
    <t xml:space="preserve">TXN000128</t>
  </si>
  <si>
    <t xml:space="preserve">CUST0500</t>
  </si>
  <si>
    <t xml:space="preserve">LN00462</t>
  </si>
  <si>
    <t xml:space="preserve">TXN000129</t>
  </si>
  <si>
    <t xml:space="preserve">CUST0107</t>
  </si>
  <si>
    <t xml:space="preserve">TXN000130</t>
  </si>
  <si>
    <t xml:space="preserve">CUST0538</t>
  </si>
  <si>
    <t xml:space="preserve">TXN000131</t>
  </si>
  <si>
    <t xml:space="preserve">CUST0717</t>
  </si>
  <si>
    <t xml:space="preserve">TXN000132</t>
  </si>
  <si>
    <t xml:space="preserve">TXN000133</t>
  </si>
  <si>
    <t xml:space="preserve">CUST0634</t>
  </si>
  <si>
    <t xml:space="preserve">TXN000134</t>
  </si>
  <si>
    <t xml:space="preserve">CUST0477</t>
  </si>
  <si>
    <t xml:space="preserve">TXN000135</t>
  </si>
  <si>
    <t xml:space="preserve">CUST0329</t>
  </si>
  <si>
    <t xml:space="preserve">TXN000136</t>
  </si>
  <si>
    <t xml:space="preserve">CUST0183</t>
  </si>
  <si>
    <t xml:space="preserve">TXN000137</t>
  </si>
  <si>
    <t xml:space="preserve">CUST0685</t>
  </si>
  <si>
    <t xml:space="preserve">TXN000138</t>
  </si>
  <si>
    <t xml:space="preserve">CUST0163</t>
  </si>
  <si>
    <t xml:space="preserve">TXN000139</t>
  </si>
  <si>
    <t xml:space="preserve">CUST0626</t>
  </si>
  <si>
    <t xml:space="preserve">TXN000140</t>
  </si>
  <si>
    <t xml:space="preserve">CUST0035</t>
  </si>
  <si>
    <t xml:space="preserve">TXN000141</t>
  </si>
  <si>
    <t xml:space="preserve">CUST0662</t>
  </si>
  <si>
    <t xml:space="preserve">LN00130</t>
  </si>
  <si>
    <t xml:space="preserve">TXN000142</t>
  </si>
  <si>
    <t xml:space="preserve">CUST0081</t>
  </si>
  <si>
    <t xml:space="preserve">TXN000143</t>
  </si>
  <si>
    <t xml:space="preserve">CUST0543</t>
  </si>
  <si>
    <t xml:space="preserve">Hitech City</t>
  </si>
  <si>
    <t xml:space="preserve">TXN000144</t>
  </si>
  <si>
    <t xml:space="preserve">CUST0568</t>
  </si>
  <si>
    <t xml:space="preserve">TXN000145</t>
  </si>
  <si>
    <t xml:space="preserve">CUST0359</t>
  </si>
  <si>
    <t xml:space="preserve">TXN000146</t>
  </si>
  <si>
    <t xml:space="preserve">CUST0200</t>
  </si>
  <si>
    <t xml:space="preserve">TXN000147</t>
  </si>
  <si>
    <t xml:space="preserve">CUST0182</t>
  </si>
  <si>
    <t xml:space="preserve">TXN000148</t>
  </si>
  <si>
    <t xml:space="preserve">CUST0233</t>
  </si>
  <si>
    <t xml:space="preserve">TXN000149</t>
  </si>
  <si>
    <t xml:space="preserve">CUST0146</t>
  </si>
  <si>
    <t xml:space="preserve">TXN000150</t>
  </si>
  <si>
    <t xml:space="preserve">TXN000151</t>
  </si>
  <si>
    <t xml:space="preserve">CUST0279</t>
  </si>
  <si>
    <t xml:space="preserve">TXN000152</t>
  </si>
  <si>
    <t xml:space="preserve">CUST0486</t>
  </si>
  <si>
    <t xml:space="preserve">TXN000153</t>
  </si>
  <si>
    <t xml:space="preserve">CUST0337</t>
  </si>
  <si>
    <t xml:space="preserve">TXN000154</t>
  </si>
  <si>
    <t xml:space="preserve">CUST0325</t>
  </si>
  <si>
    <t xml:space="preserve">TXN000155</t>
  </si>
  <si>
    <t xml:space="preserve">CUST0631</t>
  </si>
  <si>
    <t xml:space="preserve">TXN000156</t>
  </si>
  <si>
    <t xml:space="preserve">CUST0444</t>
  </si>
  <si>
    <t xml:space="preserve">LN00256</t>
  </si>
  <si>
    <t xml:space="preserve">TXN000157</t>
  </si>
  <si>
    <t xml:space="preserve">CUST0038</t>
  </si>
  <si>
    <t xml:space="preserve">TXN000158</t>
  </si>
  <si>
    <t xml:space="preserve">CUST0169</t>
  </si>
  <si>
    <t xml:space="preserve">TXN000159</t>
  </si>
  <si>
    <t xml:space="preserve">CUST0310</t>
  </si>
  <si>
    <t xml:space="preserve">TXN000160</t>
  </si>
  <si>
    <t xml:space="preserve">CUST0357</t>
  </si>
  <si>
    <t xml:space="preserve">LN00125</t>
  </si>
  <si>
    <t xml:space="preserve">TXN000161</t>
  </si>
  <si>
    <t xml:space="preserve">CUST0347</t>
  </si>
  <si>
    <t xml:space="preserve">TXN000162</t>
  </si>
  <si>
    <t xml:space="preserve">CUST0352</t>
  </si>
  <si>
    <t xml:space="preserve">TXN000163</t>
  </si>
  <si>
    <t xml:space="preserve">CUST0065</t>
  </si>
  <si>
    <t xml:space="preserve">TXN000164</t>
  </si>
  <si>
    <t xml:space="preserve">CUST0443</t>
  </si>
  <si>
    <t xml:space="preserve">LN00783</t>
  </si>
  <si>
    <t xml:space="preserve">TXN000165</t>
  </si>
  <si>
    <t xml:space="preserve">CUST0255</t>
  </si>
  <si>
    <t xml:space="preserve">LN00970</t>
  </si>
  <si>
    <t xml:space="preserve">TXN000166</t>
  </si>
  <si>
    <t xml:space="preserve">TXN000167</t>
  </si>
  <si>
    <t xml:space="preserve">CUST0021</t>
  </si>
  <si>
    <t xml:space="preserve">TXN000168</t>
  </si>
  <si>
    <t xml:space="preserve">TXN000169</t>
  </si>
  <si>
    <t xml:space="preserve">CUST0430</t>
  </si>
  <si>
    <t xml:space="preserve">TXN000170</t>
  </si>
  <si>
    <t xml:space="preserve">TXN000171</t>
  </si>
  <si>
    <t xml:space="preserve">TXN000172</t>
  </si>
  <si>
    <t xml:space="preserve">CUST0483</t>
  </si>
  <si>
    <t xml:space="preserve">TXN000173</t>
  </si>
  <si>
    <t xml:space="preserve">CUST0563</t>
  </si>
  <si>
    <t xml:space="preserve">TXN000174</t>
  </si>
  <si>
    <t xml:space="preserve">CUST0173</t>
  </si>
  <si>
    <t xml:space="preserve">TXN000175</t>
  </si>
  <si>
    <t xml:space="preserve">CUST0629</t>
  </si>
  <si>
    <t xml:space="preserve">TXN000176</t>
  </si>
  <si>
    <t xml:space="preserve">CUST0343</t>
  </si>
  <si>
    <t xml:space="preserve">LN00801</t>
  </si>
  <si>
    <t xml:space="preserve">TXN000177</t>
  </si>
  <si>
    <t xml:space="preserve">CUST0720</t>
  </si>
  <si>
    <t xml:space="preserve">TXN000178</t>
  </si>
  <si>
    <t xml:space="preserve">CUST0209</t>
  </si>
  <si>
    <t xml:space="preserve">TXN000179</t>
  </si>
  <si>
    <t xml:space="preserve">CUST0010</t>
  </si>
  <si>
    <t xml:space="preserve">LN00484</t>
  </si>
  <si>
    <t xml:space="preserve">TXN000180</t>
  </si>
  <si>
    <t xml:space="preserve">CUST0373</t>
  </si>
  <si>
    <t xml:space="preserve">TXN000181</t>
  </si>
  <si>
    <t xml:space="preserve">CUST0267</t>
  </si>
  <si>
    <t xml:space="preserve">LN00958</t>
  </si>
  <si>
    <t xml:space="preserve">TXN000182</t>
  </si>
  <si>
    <t xml:space="preserve">CUST0241</t>
  </si>
  <si>
    <t xml:space="preserve">TXN000183</t>
  </si>
  <si>
    <t xml:space="preserve">TXN000184</t>
  </si>
  <si>
    <t xml:space="preserve">CUST0251</t>
  </si>
  <si>
    <t xml:space="preserve">TXN000185</t>
  </si>
  <si>
    <t xml:space="preserve">TXN000186</t>
  </si>
  <si>
    <t xml:space="preserve">CUST0750</t>
  </si>
  <si>
    <t xml:space="preserve">TXN000187</t>
  </si>
  <si>
    <t xml:space="preserve">TXN000188</t>
  </si>
  <si>
    <t xml:space="preserve">CUST0256</t>
  </si>
  <si>
    <t xml:space="preserve">TXN000189</t>
  </si>
  <si>
    <t xml:space="preserve">CUST0078</t>
  </si>
  <si>
    <t xml:space="preserve">TXN000190</t>
  </si>
  <si>
    <t xml:space="preserve">CUST0498</t>
  </si>
  <si>
    <t xml:space="preserve">LN01008</t>
  </si>
  <si>
    <t xml:space="preserve">TXN000191</t>
  </si>
  <si>
    <t xml:space="preserve">CUST0092</t>
  </si>
  <si>
    <t xml:space="preserve">LN00511</t>
  </si>
  <si>
    <t xml:space="preserve">TXN000192</t>
  </si>
  <si>
    <t xml:space="preserve">TXN000193</t>
  </si>
  <si>
    <t xml:space="preserve">CUST0493</t>
  </si>
  <si>
    <t xml:space="preserve">TXN000194</t>
  </si>
  <si>
    <t xml:space="preserve">CUST0176</t>
  </si>
  <si>
    <t xml:space="preserve">TXN000195</t>
  </si>
  <si>
    <t xml:space="preserve">CUST0482</t>
  </si>
  <si>
    <t xml:space="preserve">TXN000196</t>
  </si>
  <si>
    <t xml:space="preserve">CUST0655</t>
  </si>
  <si>
    <t xml:space="preserve">TXN000197</t>
  </si>
  <si>
    <t xml:space="preserve">CUST0306</t>
  </si>
  <si>
    <t xml:space="preserve">TXN000198</t>
  </si>
  <si>
    <t xml:space="preserve">TXN000199</t>
  </si>
  <si>
    <t xml:space="preserve">CUST0775</t>
  </si>
  <si>
    <t xml:space="preserve">TXN000200</t>
  </si>
  <si>
    <t xml:space="preserve">CUST0526</t>
  </si>
  <si>
    <t xml:space="preserve">TXN000201</t>
  </si>
  <si>
    <t xml:space="preserve">CUST0653</t>
  </si>
  <si>
    <t xml:space="preserve">TXN000202</t>
  </si>
  <si>
    <t xml:space="preserve">CUST0079</t>
  </si>
  <si>
    <t xml:space="preserve">LN00402</t>
  </si>
  <si>
    <t xml:space="preserve">TXN000203</t>
  </si>
  <si>
    <t xml:space="preserve">CUST0518</t>
  </si>
  <si>
    <t xml:space="preserve">TXN000204</t>
  </si>
  <si>
    <t xml:space="preserve">CUST0083</t>
  </si>
  <si>
    <t xml:space="preserve">TXN000205</t>
  </si>
  <si>
    <t xml:space="preserve">CUST0064</t>
  </si>
  <si>
    <t xml:space="preserve">TXN000206</t>
  </si>
  <si>
    <t xml:space="preserve">CUST0529</t>
  </si>
  <si>
    <t xml:space="preserve">LN00205</t>
  </si>
  <si>
    <t xml:space="preserve">TXN000207</t>
  </si>
  <si>
    <t xml:space="preserve">CUST0520</t>
  </si>
  <si>
    <t xml:space="preserve">TXN000208</t>
  </si>
  <si>
    <t xml:space="preserve">CUST0399</t>
  </si>
  <si>
    <t xml:space="preserve">TXN000209</t>
  </si>
  <si>
    <t xml:space="preserve">CUST0202</t>
  </si>
  <si>
    <t xml:space="preserve">TXN000210</t>
  </si>
  <si>
    <t xml:space="preserve">TXN000211</t>
  </si>
  <si>
    <t xml:space="preserve">CUST0408</t>
  </si>
  <si>
    <t xml:space="preserve">TXN000212</t>
  </si>
  <si>
    <t xml:space="preserve">CUST0451</t>
  </si>
  <si>
    <t xml:space="preserve">TXN000213</t>
  </si>
  <si>
    <t xml:space="preserve">CUST0672</t>
  </si>
  <si>
    <t xml:space="preserve">TXN000214</t>
  </si>
  <si>
    <t xml:space="preserve">CUST0705</t>
  </si>
  <si>
    <t xml:space="preserve">TXN000215</t>
  </si>
  <si>
    <t xml:space="preserve">CUST0658</t>
  </si>
  <si>
    <t xml:space="preserve">TXN000216</t>
  </si>
  <si>
    <t xml:space="preserve">CUST0298</t>
  </si>
  <si>
    <t xml:space="preserve">TXN000217</t>
  </si>
  <si>
    <t xml:space="preserve">TXN000218</t>
  </si>
  <si>
    <t xml:space="preserve">CUST0220</t>
  </si>
  <si>
    <t xml:space="preserve">TXN000219</t>
  </si>
  <si>
    <t xml:space="preserve">CUST0023</t>
  </si>
  <si>
    <t xml:space="preserve">TXN000220</t>
  </si>
  <si>
    <t xml:space="preserve">TXN000221</t>
  </si>
  <si>
    <t xml:space="preserve">CUST0007</t>
  </si>
  <si>
    <t xml:space="preserve">TXN000222</t>
  </si>
  <si>
    <t xml:space="preserve">TXN000223</t>
  </si>
  <si>
    <t xml:space="preserve">CUST0645</t>
  </si>
  <si>
    <t xml:space="preserve">TXN000224</t>
  </si>
  <si>
    <t xml:space="preserve">CUST0525</t>
  </si>
  <si>
    <t xml:space="preserve">TXN000225</t>
  </si>
  <si>
    <t xml:space="preserve">CUST0125</t>
  </si>
  <si>
    <t xml:space="preserve">TXN000226</t>
  </si>
  <si>
    <t xml:space="preserve">CUST0253</t>
  </si>
  <si>
    <t xml:space="preserve">LN00742</t>
  </si>
  <si>
    <t xml:space="preserve">TXN000227</t>
  </si>
  <si>
    <t xml:space="preserve">CUST0069</t>
  </si>
  <si>
    <t xml:space="preserve">TXN000228</t>
  </si>
  <si>
    <t xml:space="preserve">CUST0549</t>
  </si>
  <si>
    <t xml:space="preserve">TXN000229</t>
  </si>
  <si>
    <t xml:space="preserve">TXN000230</t>
  </si>
  <si>
    <t xml:space="preserve">CUST0011</t>
  </si>
  <si>
    <t xml:space="preserve">TXN000231</t>
  </si>
  <si>
    <t xml:space="preserve">CUST0047</t>
  </si>
  <si>
    <t xml:space="preserve">TXN000232</t>
  </si>
  <si>
    <t xml:space="preserve">TXN000233</t>
  </si>
  <si>
    <t xml:space="preserve">TXN000234</t>
  </si>
  <si>
    <t xml:space="preserve">CUST0039</t>
  </si>
  <si>
    <t xml:space="preserve">TXN000235</t>
  </si>
  <si>
    <t xml:space="preserve">CUST0508</t>
  </si>
  <si>
    <t xml:space="preserve">LN00014</t>
  </si>
  <si>
    <t xml:space="preserve">TXN000236</t>
  </si>
  <si>
    <t xml:space="preserve">LN00383</t>
  </si>
  <si>
    <t xml:space="preserve">TXN000237</t>
  </si>
  <si>
    <t xml:space="preserve">CUST0044</t>
  </si>
  <si>
    <t xml:space="preserve">LN00428</t>
  </si>
  <si>
    <t xml:space="preserve">TXN000238</t>
  </si>
  <si>
    <t xml:space="preserve">CUST0252</t>
  </si>
  <si>
    <t xml:space="preserve">LN00482</t>
  </si>
  <si>
    <t xml:space="preserve">TXN000239</t>
  </si>
  <si>
    <t xml:space="preserve">CUST0152</t>
  </si>
  <si>
    <t xml:space="preserve">TXN000240</t>
  </si>
  <si>
    <t xml:space="preserve">CUST0393</t>
  </si>
  <si>
    <t xml:space="preserve">LN00315</t>
  </si>
  <si>
    <t xml:space="preserve">TXN000241</t>
  </si>
  <si>
    <t xml:space="preserve">CUST0463</t>
  </si>
  <si>
    <t xml:space="preserve">TXN000242</t>
  </si>
  <si>
    <t xml:space="preserve">CUST0211</t>
  </si>
  <si>
    <t xml:space="preserve">TXN000243</t>
  </si>
  <si>
    <t xml:space="preserve">CUST0577</t>
  </si>
  <si>
    <t xml:space="preserve">TXN000244</t>
  </si>
  <si>
    <t xml:space="preserve">CUST0217</t>
  </si>
  <si>
    <t xml:space="preserve">LN00637</t>
  </si>
  <si>
    <t xml:space="preserve">TXN000245</t>
  </si>
  <si>
    <t xml:space="preserve">TXN000246</t>
  </si>
  <si>
    <t xml:space="preserve">CUST0142</t>
  </si>
  <si>
    <t xml:space="preserve">TXN000247</t>
  </si>
  <si>
    <t xml:space="preserve">TXN000248</t>
  </si>
  <si>
    <t xml:space="preserve">CUST0157</t>
  </si>
  <si>
    <t xml:space="preserve">TXN000249</t>
  </si>
  <si>
    <t xml:space="preserve">TXN000250</t>
  </si>
  <si>
    <t xml:space="preserve">LN00575</t>
  </si>
  <si>
    <t xml:space="preserve">TXN000251</t>
  </si>
  <si>
    <t xml:space="preserve">CUST0226</t>
  </si>
  <si>
    <t xml:space="preserve">TXN000252</t>
  </si>
  <si>
    <t xml:space="preserve">CUST0139</t>
  </si>
  <si>
    <t xml:space="preserve">TXN000253</t>
  </si>
  <si>
    <t xml:space="preserve">CUST0191</t>
  </si>
  <si>
    <t xml:space="preserve">TXN000254</t>
  </si>
  <si>
    <t xml:space="preserve">CUST0390</t>
  </si>
  <si>
    <t xml:space="preserve">TXN000255</t>
  </si>
  <si>
    <t xml:space="preserve">CUST0669</t>
  </si>
  <si>
    <t xml:space="preserve">TXN000256</t>
  </si>
  <si>
    <t xml:space="preserve">CUST0686</t>
  </si>
  <si>
    <t xml:space="preserve">TXN000257</t>
  </si>
  <si>
    <t xml:space="preserve">CUST0754</t>
  </si>
  <si>
    <t xml:space="preserve">TXN000258</t>
  </si>
  <si>
    <t xml:space="preserve">CUST0222</t>
  </si>
  <si>
    <t xml:space="preserve">TXN000259</t>
  </si>
  <si>
    <t xml:space="preserve">TXN000260</t>
  </si>
  <si>
    <t xml:space="preserve">TXN000261</t>
  </si>
  <si>
    <t xml:space="preserve">CUST0033</t>
  </si>
  <si>
    <t xml:space="preserve">TXN000262</t>
  </si>
  <si>
    <t xml:space="preserve">CUST0503</t>
  </si>
  <si>
    <t xml:space="preserve">LN00088</t>
  </si>
  <si>
    <t xml:space="preserve">TXN000263</t>
  </si>
  <si>
    <t xml:space="preserve">CUST0254</t>
  </si>
  <si>
    <t xml:space="preserve">TXN000264</t>
  </si>
  <si>
    <t xml:space="preserve">TXN000265</t>
  </si>
  <si>
    <t xml:space="preserve">CUST0528</t>
  </si>
  <si>
    <t xml:space="preserve">TXN000266</t>
  </si>
  <si>
    <t xml:space="preserve">CUST0604</t>
  </si>
  <si>
    <t xml:space="preserve">LN00119</t>
  </si>
  <si>
    <t xml:space="preserve">TXN000267</t>
  </si>
  <si>
    <t xml:space="preserve">CUST0024</t>
  </si>
  <si>
    <t xml:space="preserve">TXN000268</t>
  </si>
  <si>
    <t xml:space="preserve">TXN000269</t>
  </si>
  <si>
    <t xml:space="preserve">CUST0389</t>
  </si>
  <si>
    <t xml:space="preserve">TXN000270</t>
  </si>
  <si>
    <t xml:space="preserve">CUST0506</t>
  </si>
  <si>
    <t xml:space="preserve">TXN000271</t>
  </si>
  <si>
    <t xml:space="preserve">TXN000272</t>
  </si>
  <si>
    <t xml:space="preserve">TXN000273</t>
  </si>
  <si>
    <t xml:space="preserve">TXN000274</t>
  </si>
  <si>
    <t xml:space="preserve">TXN000275</t>
  </si>
  <si>
    <t xml:space="preserve">CUST0257</t>
  </si>
  <si>
    <t xml:space="preserve">LN01079</t>
  </si>
  <si>
    <t xml:space="preserve">TXN000276</t>
  </si>
  <si>
    <t xml:space="preserve">CUST0302</t>
  </si>
  <si>
    <t xml:space="preserve">TXN000277</t>
  </si>
  <si>
    <t xml:space="preserve">CUST0383</t>
  </si>
  <si>
    <t xml:space="preserve">TXN000278</t>
  </si>
  <si>
    <t xml:space="preserve">CUST0380</t>
  </si>
  <si>
    <t xml:space="preserve">TXN000279</t>
  </si>
  <si>
    <t xml:space="preserve">CUST0566</t>
  </si>
  <si>
    <t xml:space="preserve">TXN000280</t>
  </si>
  <si>
    <t xml:space="preserve">CUST0229</t>
  </si>
  <si>
    <t xml:space="preserve">TXN000281</t>
  </si>
  <si>
    <t xml:space="preserve">LN00248</t>
  </si>
  <si>
    <t xml:space="preserve">TXN000282</t>
  </si>
  <si>
    <t xml:space="preserve">TXN000283</t>
  </si>
  <si>
    <t xml:space="preserve">CUST0794</t>
  </si>
  <si>
    <t xml:space="preserve">TXN000284</t>
  </si>
  <si>
    <t xml:space="preserve">CUST0757</t>
  </si>
  <si>
    <t xml:space="preserve">TXN000285</t>
  </si>
  <si>
    <t xml:space="preserve">TXN000286</t>
  </si>
  <si>
    <t xml:space="preserve">CUST0087</t>
  </si>
  <si>
    <t xml:space="preserve">LN00868</t>
  </si>
  <si>
    <t xml:space="preserve">TXN000287</t>
  </si>
  <si>
    <t xml:space="preserve">TXN000288</t>
  </si>
  <si>
    <t xml:space="preserve">TXN000289</t>
  </si>
  <si>
    <t xml:space="preserve">CUST0701</t>
  </si>
  <si>
    <t xml:space="preserve">TXN000290</t>
  </si>
  <si>
    <t xml:space="preserve">CUST0294</t>
  </si>
  <si>
    <t xml:space="preserve">TXN000291</t>
  </si>
  <si>
    <t xml:space="preserve">TXN000292</t>
  </si>
  <si>
    <t xml:space="preserve">LN00632</t>
  </si>
  <si>
    <t xml:space="preserve">TXN000293</t>
  </si>
  <si>
    <t xml:space="preserve">CUST0644</t>
  </si>
  <si>
    <t xml:space="preserve">TXN000294</t>
  </si>
  <si>
    <t xml:space="preserve">CUST0442</t>
  </si>
  <si>
    <t xml:space="preserve">TXN000295</t>
  </si>
  <si>
    <t xml:space="preserve">CUST0597</t>
  </si>
  <si>
    <t xml:space="preserve">TXN000296</t>
  </si>
  <si>
    <t xml:space="preserve">CUST0476</t>
  </si>
  <si>
    <t xml:space="preserve">TXN000297</t>
  </si>
  <si>
    <t xml:space="preserve">TXN000298</t>
  </si>
  <si>
    <t xml:space="preserve">CUST0400</t>
  </si>
  <si>
    <t xml:space="preserve">TXN000299</t>
  </si>
  <si>
    <t xml:space="preserve">CUST0481</t>
  </si>
  <si>
    <t xml:space="preserve">TXN000300</t>
  </si>
  <si>
    <t xml:space="preserve">LN00005</t>
  </si>
  <si>
    <t xml:space="preserve">TXN000301</t>
  </si>
  <si>
    <t xml:space="preserve">CUST0608</t>
  </si>
  <si>
    <t xml:space="preserve">TXN000302</t>
  </si>
  <si>
    <t xml:space="preserve">TXN000303</t>
  </si>
  <si>
    <t xml:space="preserve">CUST0158</t>
  </si>
  <si>
    <t xml:space="preserve">LN00765</t>
  </si>
  <si>
    <t xml:space="preserve">TXN000304</t>
  </si>
  <si>
    <t xml:space="preserve">CUST0625</t>
  </si>
  <si>
    <t xml:space="preserve">TXN000305</t>
  </si>
  <si>
    <t xml:space="preserve">CUST0221</t>
  </si>
  <si>
    <t xml:space="preserve">TXN000306</t>
  </si>
  <si>
    <t xml:space="preserve">CUST0425</t>
  </si>
  <si>
    <t xml:space="preserve">TXN000307</t>
  </si>
  <si>
    <t xml:space="preserve">CUST0098</t>
  </si>
  <si>
    <t xml:space="preserve">TXN000308</t>
  </si>
  <si>
    <t xml:space="preserve">CUST0289</t>
  </si>
  <si>
    <t xml:space="preserve">TXN000309</t>
  </si>
  <si>
    <t xml:space="preserve">TXN000310</t>
  </si>
  <si>
    <t xml:space="preserve">CUST0319</t>
  </si>
  <si>
    <t xml:space="preserve">TXN000311</t>
  </si>
  <si>
    <t xml:space="preserve">LN00651</t>
  </si>
  <si>
    <t xml:space="preserve">TXN000312</t>
  </si>
  <si>
    <t xml:space="preserve">TXN000313</t>
  </si>
  <si>
    <t xml:space="preserve">CUST0203</t>
  </si>
  <si>
    <t xml:space="preserve">TXN000314</t>
  </si>
  <si>
    <t xml:space="preserve">CUST0551</t>
  </si>
  <si>
    <t xml:space="preserve">LN00838</t>
  </si>
  <si>
    <t xml:space="preserve">TXN000315</t>
  </si>
  <si>
    <t xml:space="preserve">CUST0032</t>
  </si>
  <si>
    <t xml:space="preserve">TXN000316</t>
  </si>
  <si>
    <t xml:space="preserve">CUST0263</t>
  </si>
  <si>
    <t xml:space="preserve">TXN000317</t>
  </si>
  <si>
    <t xml:space="preserve">CUST0323</t>
  </si>
  <si>
    <t xml:space="preserve">TXN000318</t>
  </si>
  <si>
    <t xml:space="preserve">TXN000319</t>
  </si>
  <si>
    <t xml:space="preserve">CUST0567</t>
  </si>
  <si>
    <t xml:space="preserve">LN00066</t>
  </si>
  <si>
    <t xml:space="preserve">TXN000320</t>
  </si>
  <si>
    <t xml:space="preserve">CUST0736</t>
  </si>
  <si>
    <t xml:space="preserve">TXN000321</t>
  </si>
  <si>
    <t xml:space="preserve">CUST0037</t>
  </si>
  <si>
    <t xml:space="preserve">TXN000322</t>
  </si>
  <si>
    <t xml:space="preserve">TXN000323</t>
  </si>
  <si>
    <t xml:space="preserve">CUST0177</t>
  </si>
  <si>
    <t xml:space="preserve">LN00941</t>
  </si>
  <si>
    <t xml:space="preserve">TXN000324</t>
  </si>
  <si>
    <t xml:space="preserve">TXN000325</t>
  </si>
  <si>
    <t xml:space="preserve">CUST0433</t>
  </si>
  <si>
    <t xml:space="preserve">TXN000326</t>
  </si>
  <si>
    <t xml:space="preserve">CUST0127</t>
  </si>
  <si>
    <t xml:space="preserve">TXN000327</t>
  </si>
  <si>
    <t xml:space="preserve">TXN000328</t>
  </si>
  <si>
    <t xml:space="preserve">TXN000329</t>
  </si>
  <si>
    <t xml:space="preserve">CUST0001</t>
  </si>
  <si>
    <t xml:space="preserve">TXN000330</t>
  </si>
  <si>
    <t xml:space="preserve">CUST0413</t>
  </si>
  <si>
    <t xml:space="preserve">LN00430</t>
  </si>
  <si>
    <t xml:space="preserve">TXN000331</t>
  </si>
  <si>
    <t xml:space="preserve">CUST0090</t>
  </si>
  <si>
    <t xml:space="preserve">TXN000332</t>
  </si>
  <si>
    <t xml:space="preserve">CUST0752</t>
  </si>
  <si>
    <t xml:space="preserve">TXN000333</t>
  </si>
  <si>
    <t xml:space="preserve">CUST0798</t>
  </si>
  <si>
    <t xml:space="preserve">TXN000334</t>
  </si>
  <si>
    <t xml:space="preserve">TXN000335</t>
  </si>
  <si>
    <t xml:space="preserve">CUST0460</t>
  </si>
  <si>
    <t xml:space="preserve">TXN000336</t>
  </si>
  <si>
    <t xml:space="preserve">CUST0558</t>
  </si>
  <si>
    <t xml:space="preserve">TXN000337</t>
  </si>
  <si>
    <t xml:space="preserve">CUST0354</t>
  </si>
  <si>
    <t xml:space="preserve">TXN000338</t>
  </si>
  <si>
    <t xml:space="preserve">LN00198</t>
  </si>
  <si>
    <t xml:space="preserve">TXN000339</t>
  </si>
  <si>
    <t xml:space="preserve">TXN000340</t>
  </si>
  <si>
    <t xml:space="preserve">CUST0360</t>
  </si>
  <si>
    <t xml:space="preserve">TXN000341</t>
  </si>
  <si>
    <t xml:space="preserve">TXN000342</t>
  </si>
  <si>
    <t xml:space="preserve">CUST0102</t>
  </si>
  <si>
    <t xml:space="preserve">TXN000343</t>
  </si>
  <si>
    <t xml:space="preserve">TXN000344</t>
  </si>
  <si>
    <t xml:space="preserve">TXN000345</t>
  </si>
  <si>
    <t xml:space="preserve">TXN000346</t>
  </si>
  <si>
    <t xml:space="preserve">CUST0403</t>
  </si>
  <si>
    <t xml:space="preserve">TXN000347</t>
  </si>
  <si>
    <t xml:space="preserve">LN00308</t>
  </si>
  <si>
    <t xml:space="preserve">TXN000348</t>
  </si>
  <si>
    <t xml:space="preserve">CUST0758</t>
  </si>
  <si>
    <t xml:space="preserve">TXN000349</t>
  </si>
  <si>
    <t xml:space="preserve">TXN000350</t>
  </si>
  <si>
    <t xml:space="preserve">CUST0031</t>
  </si>
  <si>
    <t xml:space="preserve">TXN000351</t>
  </si>
  <si>
    <t xml:space="preserve">CUST0596</t>
  </si>
  <si>
    <t xml:space="preserve">LN00536</t>
  </si>
  <si>
    <t xml:space="preserve">TXN000352</t>
  </si>
  <si>
    <t xml:space="preserve">TXN000353</t>
  </si>
  <si>
    <t xml:space="preserve">CUST0768</t>
  </si>
  <si>
    <t xml:space="preserve">TXN000354</t>
  </si>
  <si>
    <t xml:space="preserve">CUST0533</t>
  </si>
  <si>
    <t xml:space="preserve">TXN000355</t>
  </si>
  <si>
    <t xml:space="preserve">CUST0086</t>
  </si>
  <si>
    <t xml:space="preserve">TXN000356</t>
  </si>
  <si>
    <t xml:space="preserve">TXN000357</t>
  </si>
  <si>
    <t xml:space="preserve">TXN000358</t>
  </si>
  <si>
    <t xml:space="preserve">TXN000359</t>
  </si>
  <si>
    <t xml:space="preserve">CUST0660</t>
  </si>
  <si>
    <t xml:space="preserve">TXN000360</t>
  </si>
  <si>
    <t xml:space="preserve">CUST0366</t>
  </si>
  <si>
    <t xml:space="preserve">TXN000361</t>
  </si>
  <si>
    <t xml:space="preserve">CUST0106</t>
  </si>
  <si>
    <t xml:space="preserve">TXN000362</t>
  </si>
  <si>
    <t xml:space="preserve">CUST0416</t>
  </si>
  <si>
    <t xml:space="preserve">TXN000363</t>
  </si>
  <si>
    <t xml:space="preserve">CUST0537</t>
  </si>
  <si>
    <t xml:space="preserve">TXN000364</t>
  </si>
  <si>
    <t xml:space="preserve">CUST0532</t>
  </si>
  <si>
    <t xml:space="preserve">TXN000365</t>
  </si>
  <si>
    <t xml:space="preserve">LN00075</t>
  </si>
  <si>
    <t xml:space="preserve">TXN000366</t>
  </si>
  <si>
    <t xml:space="preserve">CUST0702</t>
  </si>
  <si>
    <t xml:space="preserve">TXN000367</t>
  </si>
  <si>
    <t xml:space="preserve">CUST0713</t>
  </si>
  <si>
    <t xml:space="preserve">TXN000368</t>
  </si>
  <si>
    <t xml:space="preserve">CUST0136</t>
  </si>
  <si>
    <t xml:space="preserve">TXN000369</t>
  </si>
  <si>
    <t xml:space="preserve">CUST0339</t>
  </si>
  <si>
    <t xml:space="preserve">TXN000370</t>
  </si>
  <si>
    <t xml:space="preserve">CUST0468</t>
  </si>
  <si>
    <t xml:space="preserve">TXN000371</t>
  </si>
  <si>
    <t xml:space="preserve">CUST0496</t>
  </si>
  <si>
    <t xml:space="preserve">TXN000372</t>
  </si>
  <si>
    <t xml:space="preserve">CUST0178</t>
  </si>
  <si>
    <t xml:space="preserve">TXN000373</t>
  </si>
  <si>
    <t xml:space="preserve">TXN000374</t>
  </si>
  <si>
    <t xml:space="preserve">CUST0387</t>
  </si>
  <si>
    <t xml:space="preserve">TXN000375</t>
  </si>
  <si>
    <t xml:space="preserve">TXN000376</t>
  </si>
  <si>
    <t xml:space="preserve">TXN000377</t>
  </si>
  <si>
    <t xml:space="preserve">CUST0617</t>
  </si>
  <si>
    <t xml:space="preserve">TXN000378</t>
  </si>
  <si>
    <t xml:space="preserve">TXN000379</t>
  </si>
  <si>
    <t xml:space="preserve">TXN000380</t>
  </si>
  <si>
    <t xml:space="preserve">TXN000381</t>
  </si>
  <si>
    <t xml:space="preserve">CUST0622</t>
  </si>
  <si>
    <t xml:space="preserve">TXN000382</t>
  </si>
  <si>
    <t xml:space="preserve">CUST0276</t>
  </si>
  <si>
    <t xml:space="preserve">TXN000383</t>
  </si>
  <si>
    <t xml:space="preserve">CUST0554</t>
  </si>
  <si>
    <t xml:space="preserve">TXN000384</t>
  </si>
  <si>
    <t xml:space="preserve">CUST0730</t>
  </si>
  <si>
    <t xml:space="preserve">LN00297</t>
  </si>
  <si>
    <t xml:space="preserve">TXN000385</t>
  </si>
  <si>
    <t xml:space="preserve">CUST0089</t>
  </si>
  <si>
    <t xml:space="preserve">TXN000386</t>
  </si>
  <si>
    <t xml:space="preserve">CUST0599</t>
  </si>
  <si>
    <t xml:space="preserve">TXN000387</t>
  </si>
  <si>
    <t xml:space="preserve">CUST0539</t>
  </si>
  <si>
    <t xml:space="preserve">LN00450</t>
  </si>
  <si>
    <t xml:space="preserve">TXN000388</t>
  </si>
  <si>
    <t xml:space="preserve">TXN000389</t>
  </si>
  <si>
    <t xml:space="preserve">CUST0759</t>
  </si>
  <si>
    <t xml:space="preserve">LN00154</t>
  </si>
  <si>
    <t xml:space="preserve">TXN000390</t>
  </si>
  <si>
    <t xml:space="preserve">CUST0435</t>
  </si>
  <si>
    <t xml:space="preserve">TXN000391</t>
  </si>
  <si>
    <t xml:space="preserve">CUST0075</t>
  </si>
  <si>
    <t xml:space="preserve">TXN000392</t>
  </si>
  <si>
    <t xml:space="preserve">CUST0109</t>
  </si>
  <si>
    <t xml:space="preserve">TXN000393</t>
  </si>
  <si>
    <t xml:space="preserve">CUST0297</t>
  </si>
  <si>
    <t xml:space="preserve">TXN000394</t>
  </si>
  <si>
    <t xml:space="preserve">CUST0137</t>
  </si>
  <si>
    <t xml:space="preserve">TXN000395</t>
  </si>
  <si>
    <t xml:space="preserve">TXN000396</t>
  </si>
  <si>
    <t xml:space="preserve">CUST0464</t>
  </si>
  <si>
    <t xml:space="preserve">TXN000397</t>
  </si>
  <si>
    <t xml:space="preserve">CUST0564</t>
  </si>
  <si>
    <t xml:space="preserve">LN00458</t>
  </si>
  <si>
    <t xml:space="preserve">TXN000398</t>
  </si>
  <si>
    <t xml:space="preserve">TXN000399</t>
  </si>
  <si>
    <t xml:space="preserve">CUST0777</t>
  </si>
  <si>
    <t xml:space="preserve">TXN000400</t>
  </si>
  <si>
    <t xml:space="preserve">TXN000401</t>
  </si>
  <si>
    <t xml:space="preserve">TXN000402</t>
  </si>
  <si>
    <t xml:space="preserve">TXN000403</t>
  </si>
  <si>
    <t xml:space="preserve">TXN000404</t>
  </si>
  <si>
    <t xml:space="preserve">CUST0174</t>
  </si>
  <si>
    <t xml:space="preserve">TXN000405</t>
  </si>
  <si>
    <t xml:space="preserve">CUST0029</t>
  </si>
  <si>
    <t xml:space="preserve">TXN000406</t>
  </si>
  <si>
    <t xml:space="preserve">CUST0259</t>
  </si>
  <si>
    <t xml:space="preserve">TXN000407</t>
  </si>
  <si>
    <t xml:space="preserve">CUST0548</t>
  </si>
  <si>
    <t xml:space="preserve">LN00373</t>
  </si>
  <si>
    <t xml:space="preserve">TXN000408</t>
  </si>
  <si>
    <t xml:space="preserve">CUST0099</t>
  </si>
  <si>
    <t xml:space="preserve">TXN000409</t>
  </si>
  <si>
    <t xml:space="preserve">TXN000410</t>
  </si>
  <si>
    <t xml:space="preserve">TXN000411</t>
  </si>
  <si>
    <t xml:space="preserve">CUST0673</t>
  </si>
  <si>
    <t xml:space="preserve">TXN000412</t>
  </si>
  <si>
    <t xml:space="preserve">TXN000413</t>
  </si>
  <si>
    <t xml:space="preserve">TXN000414</t>
  </si>
  <si>
    <t xml:space="preserve">TXN000415</t>
  </si>
  <si>
    <t xml:space="preserve">CUST0586</t>
  </si>
  <si>
    <t xml:space="preserve">TXN000416</t>
  </si>
  <si>
    <t xml:space="preserve">TXN000417</t>
  </si>
  <si>
    <t xml:space="preserve">TXN000418</t>
  </si>
  <si>
    <t xml:space="preserve">CUST0773</t>
  </si>
  <si>
    <t xml:space="preserve">TXN000419</t>
  </si>
  <si>
    <t xml:space="preserve">TXN000420</t>
  </si>
  <si>
    <t xml:space="preserve">CUST0269</t>
  </si>
  <si>
    <t xml:space="preserve">LN00362</t>
  </si>
  <si>
    <t xml:space="preserve">TXN000421</t>
  </si>
  <si>
    <t xml:space="preserve">CUST0057</t>
  </si>
  <si>
    <t xml:space="preserve">TXN000422</t>
  </si>
  <si>
    <t xml:space="preserve">CUST0728</t>
  </si>
  <si>
    <t xml:space="preserve">TXN000423</t>
  </si>
  <si>
    <t xml:space="preserve">CUST0309</t>
  </si>
  <si>
    <t xml:space="preserve">LN00947</t>
  </si>
  <si>
    <t xml:space="preserve">TXN000424</t>
  </si>
  <si>
    <t xml:space="preserve">TXN000425</t>
  </si>
  <si>
    <t xml:space="preserve">CUST0341</t>
  </si>
  <si>
    <t xml:space="preserve">TXN000426</t>
  </si>
  <si>
    <t xml:space="preserve">CUST0396</t>
  </si>
  <si>
    <t xml:space="preserve">LN01071</t>
  </si>
  <si>
    <t xml:space="preserve">TXN000427</t>
  </si>
  <si>
    <t xml:space="preserve">CUST0544</t>
  </si>
  <si>
    <t xml:space="preserve">LN00763</t>
  </si>
  <si>
    <t xml:space="preserve">TXN000428</t>
  </si>
  <si>
    <t xml:space="preserve">CUST0218</t>
  </si>
  <si>
    <t xml:space="preserve">TXN000429</t>
  </si>
  <si>
    <t xml:space="preserve">CUST0414</t>
  </si>
  <si>
    <t xml:space="preserve">TXN000430</t>
  </si>
  <si>
    <t xml:space="preserve">TXN000431</t>
  </si>
  <si>
    <t xml:space="preserve">TXN000432</t>
  </si>
  <si>
    <t xml:space="preserve">TXN000433</t>
  </si>
  <si>
    <t xml:space="preserve">CUST0185</t>
  </si>
  <si>
    <t xml:space="preserve">TXN000434</t>
  </si>
  <si>
    <t xml:space="preserve">CUST0246</t>
  </si>
  <si>
    <t xml:space="preserve">TXN000435</t>
  </si>
  <si>
    <t xml:space="preserve">CUST0704</t>
  </si>
  <si>
    <t xml:space="preserve">TXN000436</t>
  </si>
  <si>
    <t xml:space="preserve">CUST0732</t>
  </si>
  <si>
    <t xml:space="preserve">TXN000437</t>
  </si>
  <si>
    <t xml:space="preserve">CUST0395</t>
  </si>
  <si>
    <t xml:space="preserve">TXN000438</t>
  </si>
  <si>
    <t xml:space="preserve">TXN000439</t>
  </si>
  <si>
    <t xml:space="preserve">LN00310</t>
  </si>
  <si>
    <t xml:space="preserve">TXN000440</t>
  </si>
  <si>
    <t xml:space="preserve">TXN000441</t>
  </si>
  <si>
    <t xml:space="preserve">CUST0402</t>
  </si>
  <si>
    <t xml:space="preserve">TXN000442</t>
  </si>
  <si>
    <t xml:space="preserve">CUST0272</t>
  </si>
  <si>
    <t xml:space="preserve">TXN000443</t>
  </si>
  <si>
    <t xml:space="preserve">CUST0248</t>
  </si>
  <si>
    <t xml:space="preserve">TXN000444</t>
  </si>
  <si>
    <t xml:space="preserve">CUST0242</t>
  </si>
  <si>
    <t xml:space="preserve">TXN000445</t>
  </si>
  <si>
    <t xml:space="preserve">CUST0150</t>
  </si>
  <si>
    <t xml:space="preserve">TXN000446</t>
  </si>
  <si>
    <t xml:space="preserve">TXN000447</t>
  </si>
  <si>
    <t xml:space="preserve">CUST0410</t>
  </si>
  <si>
    <t xml:space="preserve">TXN000448</t>
  </si>
  <si>
    <t xml:space="preserve">TXN000449</t>
  </si>
  <si>
    <t xml:space="preserve">CUST0800</t>
  </si>
  <si>
    <t xml:space="preserve">TXN000450</t>
  </si>
  <si>
    <t xml:space="preserve">CUST0062</t>
  </si>
  <si>
    <t xml:space="preserve">LN00029</t>
  </si>
  <si>
    <t xml:space="preserve">TXN000451</t>
  </si>
  <si>
    <t xml:space="preserve">CUST0497</t>
  </si>
  <si>
    <t xml:space="preserve">TXN000452</t>
  </si>
  <si>
    <t xml:space="preserve">CUST0751</t>
  </si>
  <si>
    <t xml:space="preserve">TXN000453</t>
  </si>
  <si>
    <t xml:space="preserve">TXN000454</t>
  </si>
  <si>
    <t xml:space="preserve">CUST0194</t>
  </si>
  <si>
    <t xml:space="preserve">TXN000455</t>
  </si>
  <si>
    <t xml:space="preserve">CUST0168</t>
  </si>
  <si>
    <t xml:space="preserve">TXN000456</t>
  </si>
  <si>
    <t xml:space="preserve">CUST0113</t>
  </si>
  <si>
    <t xml:space="preserve">TXN000457</t>
  </si>
  <si>
    <t xml:space="preserve">TXN000458</t>
  </si>
  <si>
    <t xml:space="preserve">CUST0473</t>
  </si>
  <si>
    <t xml:space="preserve">TXN000459</t>
  </si>
  <si>
    <t xml:space="preserve">CUST0181</t>
  </si>
  <si>
    <t xml:space="preserve">TXN000460</t>
  </si>
  <si>
    <t xml:space="preserve">CUST0028</t>
  </si>
  <si>
    <t xml:space="preserve">TXN000461</t>
  </si>
  <si>
    <t xml:space="preserve">CUST0766</t>
  </si>
  <si>
    <t xml:space="preserve">TXN000462</t>
  </si>
  <si>
    <t xml:space="preserve">CUST0667</t>
  </si>
  <si>
    <t xml:space="preserve">TXN000463</t>
  </si>
  <si>
    <t xml:space="preserve">CUST0072</t>
  </si>
  <si>
    <t xml:space="preserve">TXN000464</t>
  </si>
  <si>
    <t xml:space="preserve">LN00141</t>
  </si>
  <si>
    <t xml:space="preserve">TXN000465</t>
  </si>
  <si>
    <t xml:space="preserve">LN00972</t>
  </si>
  <si>
    <t xml:space="preserve">TXN000466</t>
  </si>
  <si>
    <t xml:space="preserve">CUST0262</t>
  </si>
  <si>
    <t xml:space="preserve">TXN000467</t>
  </si>
  <si>
    <t xml:space="preserve">TXN000468</t>
  </si>
  <si>
    <t xml:space="preserve">CUST0151</t>
  </si>
  <si>
    <t xml:space="preserve">TXN000469</t>
  </si>
  <si>
    <t xml:space="preserve">TXN000470</t>
  </si>
  <si>
    <t xml:space="preserve">CUST0799</t>
  </si>
  <si>
    <t xml:space="preserve">TXN000471</t>
  </si>
  <si>
    <t xml:space="preserve">CUST0361</t>
  </si>
  <si>
    <t xml:space="preserve">LN00539</t>
  </si>
  <si>
    <t xml:space="preserve">TXN000472</t>
  </si>
  <si>
    <t xml:space="preserve">TXN000473</t>
  </si>
  <si>
    <t xml:space="preserve">CUST0328</t>
  </si>
  <si>
    <t xml:space="preserve">TXN000474</t>
  </si>
  <si>
    <t xml:space="preserve">TXN000475</t>
  </si>
  <si>
    <t xml:space="preserve">CUST0678</t>
  </si>
  <si>
    <t xml:space="preserve">TXN000476</t>
  </si>
  <si>
    <t xml:space="preserve">CUST0792</t>
  </si>
  <si>
    <t xml:space="preserve">TXN000477</t>
  </si>
  <si>
    <t xml:space="preserve">CUST0198</t>
  </si>
  <si>
    <t xml:space="preserve">TXN000478</t>
  </si>
  <si>
    <t xml:space="preserve">TXN000479</t>
  </si>
  <si>
    <t xml:space="preserve">TXN000480</t>
  </si>
  <si>
    <t xml:space="preserve">CUST0363</t>
  </si>
  <si>
    <t xml:space="preserve">LN00195</t>
  </si>
  <si>
    <t xml:space="preserve">TXN000481</t>
  </si>
  <si>
    <t xml:space="preserve">TXN000482</t>
  </si>
  <si>
    <t xml:space="preserve">CUST0790</t>
  </si>
  <si>
    <t xml:space="preserve">TXN000483</t>
  </si>
  <si>
    <t xml:space="preserve">LN00741</t>
  </si>
  <si>
    <t xml:space="preserve">TXN000484</t>
  </si>
  <si>
    <t xml:space="preserve">CUST0454</t>
  </si>
  <si>
    <t xml:space="preserve">TXN000485</t>
  </si>
  <si>
    <t xml:space="preserve">CUST0459</t>
  </si>
  <si>
    <t xml:space="preserve">TXN000486</t>
  </si>
  <si>
    <t xml:space="preserve">CUST0355</t>
  </si>
  <si>
    <t xml:space="preserve">LN00335</t>
  </si>
  <si>
    <t xml:space="preserve">TXN000487</t>
  </si>
  <si>
    <t xml:space="preserve">LN00229</t>
  </si>
  <si>
    <t xml:space="preserve">TXN000488</t>
  </si>
  <si>
    <t xml:space="preserve">TXN000489</t>
  </si>
  <si>
    <t xml:space="preserve">TXN000490</t>
  </si>
  <si>
    <t xml:space="preserve">TXN000491</t>
  </si>
  <si>
    <t xml:space="preserve">CUST0505</t>
  </si>
  <si>
    <t xml:space="preserve">TXN000492</t>
  </si>
  <si>
    <t xml:space="preserve">CUST0071</t>
  </si>
  <si>
    <t xml:space="preserve">TXN000493</t>
  </si>
  <si>
    <t xml:space="preserve">TXN000494</t>
  </si>
  <si>
    <t xml:space="preserve">CUST0285</t>
  </si>
  <si>
    <t xml:space="preserve">LN00079</t>
  </si>
  <si>
    <t xml:space="preserve">TXN000495</t>
  </si>
  <si>
    <t xml:space="preserve">TXN000496</t>
  </si>
  <si>
    <t xml:space="preserve">TXN000497</t>
  </si>
  <si>
    <t xml:space="preserve">CUST0716</t>
  </si>
  <si>
    <t xml:space="preserve">TXN000498</t>
  </si>
  <si>
    <t xml:space="preserve">CUST0162</t>
  </si>
  <si>
    <t xml:space="preserve">TXN000499</t>
  </si>
  <si>
    <t xml:space="preserve">CUST0104</t>
  </si>
  <si>
    <t xml:space="preserve">TXN000500</t>
  </si>
  <si>
    <t xml:space="preserve">TXN000501</t>
  </si>
  <si>
    <t xml:space="preserve">TXN000502</t>
  </si>
  <si>
    <t xml:space="preserve">TXN000503</t>
  </si>
  <si>
    <t xml:space="preserve">TXN000504</t>
  </si>
  <si>
    <t xml:space="preserve">LN00412</t>
  </si>
  <si>
    <t xml:space="preserve">TXN000505</t>
  </si>
  <si>
    <t xml:space="preserve">CUST0519</t>
  </si>
  <si>
    <t xml:space="preserve">LN00726</t>
  </si>
  <si>
    <t xml:space="preserve">TXN000506</t>
  </si>
  <si>
    <t xml:space="preserve">TXN000507</t>
  </si>
  <si>
    <t xml:space="preserve">CUST0164</t>
  </si>
  <si>
    <t xml:space="preserve">TXN000508</t>
  </si>
  <si>
    <t xml:space="preserve">CUST0056</t>
  </si>
  <si>
    <t xml:space="preserve">TXN000509</t>
  </si>
  <si>
    <t xml:space="preserve">CUST0715</t>
  </si>
  <si>
    <t xml:space="preserve">TXN000510</t>
  </si>
  <si>
    <t xml:space="preserve">CUST0783</t>
  </si>
  <si>
    <t xml:space="preserve">TXN000511</t>
  </si>
  <si>
    <t xml:space="preserve">CUST0228</t>
  </si>
  <si>
    <t xml:space="preserve">TXN000512</t>
  </si>
  <si>
    <t xml:space="preserve">TXN000513</t>
  </si>
  <si>
    <t xml:space="preserve">CUST0025</t>
  </si>
  <si>
    <t xml:space="preserve">TXN000514</t>
  </si>
  <si>
    <t xml:space="preserve">CUST0063</t>
  </si>
  <si>
    <t xml:space="preserve">TXN000515</t>
  </si>
  <si>
    <t xml:space="preserve">CUST0291</t>
  </si>
  <si>
    <t xml:space="preserve">TXN000516</t>
  </si>
  <si>
    <t xml:space="preserve">CUST0721</t>
  </si>
  <si>
    <t xml:space="preserve">TXN000517</t>
  </si>
  <si>
    <t xml:space="preserve">CUST0093</t>
  </si>
  <si>
    <t xml:space="preserve">TXN000518</t>
  </si>
  <si>
    <t xml:space="preserve">LN00880</t>
  </si>
  <si>
    <t xml:space="preserve">TXN000519</t>
  </si>
  <si>
    <t xml:space="preserve">TXN000520</t>
  </si>
  <si>
    <t xml:space="preserve">TXN000521</t>
  </si>
  <si>
    <t xml:space="preserve">CUST0741</t>
  </si>
  <si>
    <t xml:space="preserve">TXN000522</t>
  </si>
  <si>
    <t xml:space="preserve">CUST0067</t>
  </si>
  <si>
    <t xml:space="preserve">TXN000523</t>
  </si>
  <si>
    <t xml:space="preserve">TXN000524</t>
  </si>
  <si>
    <t xml:space="preserve">TXN000525</t>
  </si>
  <si>
    <t xml:space="preserve">CUST0016</t>
  </si>
  <si>
    <t xml:space="preserve">TXN000526</t>
  </si>
  <si>
    <t xml:space="preserve">CUST0703</t>
  </si>
  <si>
    <t xml:space="preserve">TXN000527</t>
  </si>
  <si>
    <t xml:space="preserve">TXN000528</t>
  </si>
  <si>
    <t xml:space="preserve">CUST0074</t>
  </si>
  <si>
    <t xml:space="preserve">TXN000529</t>
  </si>
  <si>
    <t xml:space="preserve">CUST0335</t>
  </si>
  <si>
    <t xml:space="preserve">TXN000530</t>
  </si>
  <si>
    <t xml:space="preserve">CUST0293</t>
  </si>
  <si>
    <t xml:space="preserve">TXN000531</t>
  </si>
  <si>
    <t xml:space="preserve">CUST0243</t>
  </si>
  <si>
    <t xml:space="preserve">TXN000532</t>
  </si>
  <si>
    <t xml:space="preserve">TXN000533</t>
  </si>
  <si>
    <t xml:space="preserve">TXN000534</t>
  </si>
  <si>
    <t xml:space="preserve">CUST0051</t>
  </si>
  <si>
    <t xml:space="preserve">TXN000535</t>
  </si>
  <si>
    <t xml:space="preserve">LN01048</t>
  </si>
  <si>
    <t xml:space="preserve">TXN000536</t>
  </si>
  <si>
    <t xml:space="preserve">CUST0234</t>
  </si>
  <si>
    <t xml:space="preserve">LN00749</t>
  </si>
  <si>
    <t xml:space="preserve">TXN000537</t>
  </si>
  <si>
    <t xml:space="preserve">TXN000538</t>
  </si>
  <si>
    <t xml:space="preserve">TXN000539</t>
  </si>
  <si>
    <t xml:space="preserve">TXN000540</t>
  </si>
  <si>
    <t xml:space="preserve">CUST0640</t>
  </si>
  <si>
    <t xml:space="preserve">TXN000541</t>
  </si>
  <si>
    <t xml:space="preserve">CUST0744</t>
  </si>
  <si>
    <t xml:space="preserve">TXN000542</t>
  </si>
  <si>
    <t xml:space="preserve">TXN000543</t>
  </si>
  <si>
    <t xml:space="preserve">TXN000544</t>
  </si>
  <si>
    <t xml:space="preserve">TXN000545</t>
  </si>
  <si>
    <t xml:space="preserve">CUST0284</t>
  </si>
  <si>
    <t xml:space="preserve">LN00004</t>
  </si>
  <si>
    <t xml:space="preserve">TXN000546</t>
  </si>
  <si>
    <t xml:space="preserve">CUST0170</t>
  </si>
  <si>
    <t xml:space="preserve">TXN000547</t>
  </si>
  <si>
    <t xml:space="preserve">CUST0105</t>
  </si>
  <si>
    <t xml:space="preserve">TXN000548</t>
  </si>
  <si>
    <t xml:space="preserve">TXN000549</t>
  </si>
  <si>
    <t xml:space="preserve">CUST0132</t>
  </si>
  <si>
    <t xml:space="preserve">TXN000550</t>
  </si>
  <si>
    <t xml:space="preserve">CUST0059</t>
  </si>
  <si>
    <t xml:space="preserve">TXN000551</t>
  </si>
  <si>
    <t xml:space="preserve">TXN000552</t>
  </si>
  <si>
    <t xml:space="preserve">TXN000553</t>
  </si>
  <si>
    <t xml:space="preserve">CUST0490</t>
  </si>
  <si>
    <t xml:space="preserve">TXN000554</t>
  </si>
  <si>
    <t xml:space="preserve">TXN000555</t>
  </si>
  <si>
    <t xml:space="preserve">CUST0261</t>
  </si>
  <si>
    <t xml:space="preserve">TXN000556</t>
  </si>
  <si>
    <t xml:space="preserve">CUST0560</t>
  </si>
  <si>
    <t xml:space="preserve">LN00394</t>
  </si>
  <si>
    <t xml:space="preserve">TXN000557</t>
  </si>
  <si>
    <t xml:space="preserve">TXN000558</t>
  </si>
  <si>
    <t xml:space="preserve">TXN000559</t>
  </si>
  <si>
    <t xml:space="preserve">TXN000560</t>
  </si>
  <si>
    <t xml:space="preserve">TXN000561</t>
  </si>
  <si>
    <t xml:space="preserve">CUST0020</t>
  </si>
  <si>
    <t xml:space="preserve">TXN000562</t>
  </si>
  <si>
    <t xml:space="preserve">TXN000563</t>
  </si>
  <si>
    <t xml:space="preserve">TXN000564</t>
  </si>
  <si>
    <t xml:space="preserve">CUST0545</t>
  </si>
  <si>
    <t xml:space="preserve">TXN000565</t>
  </si>
  <si>
    <t xml:space="preserve">TXN000566</t>
  </si>
  <si>
    <t xml:space="preserve">TXN000567</t>
  </si>
  <si>
    <t xml:space="preserve">TXN000568</t>
  </si>
  <si>
    <t xml:space="preserve">TXN000569</t>
  </si>
  <si>
    <t xml:space="preserve">CUST0504</t>
  </si>
  <si>
    <t xml:space="preserve">LN00451</t>
  </si>
  <si>
    <t xml:space="preserve">TXN000570</t>
  </si>
  <si>
    <t xml:space="preserve">CUST0516</t>
  </si>
  <si>
    <t xml:space="preserve">TXN000571</t>
  </si>
  <si>
    <t xml:space="preserve">TXN000572</t>
  </si>
  <si>
    <t xml:space="preserve">TXN000573</t>
  </si>
  <si>
    <t xml:space="preserve">TXN000574</t>
  </si>
  <si>
    <t xml:space="preserve">TXN000575</t>
  </si>
  <si>
    <t xml:space="preserve">CUST0077</t>
  </si>
  <si>
    <t xml:space="preserve">LN00939</t>
  </si>
  <si>
    <t xml:space="preserve">TXN000576</t>
  </si>
  <si>
    <t xml:space="preserve">TXN000577</t>
  </si>
  <si>
    <t xml:space="preserve">CUST0772</t>
  </si>
  <si>
    <t xml:space="preserve">TXN000578</t>
  </si>
  <si>
    <t xml:space="preserve">CUST0055</t>
  </si>
  <si>
    <t xml:space="preserve">TXN000579</t>
  </si>
  <si>
    <t xml:space="preserve">LN00436</t>
  </si>
  <si>
    <t xml:space="preserve">TXN000580</t>
  </si>
  <si>
    <t xml:space="preserve">TXN000581</t>
  </si>
  <si>
    <t xml:space="preserve">LN00151</t>
  </si>
  <si>
    <t xml:space="preserve">TXN000582</t>
  </si>
  <si>
    <t xml:space="preserve">CUST0624</t>
  </si>
  <si>
    <t xml:space="preserve">TXN000583</t>
  </si>
  <si>
    <t xml:space="preserve">TXN000584</t>
  </si>
  <si>
    <t xml:space="preserve">CUST0281</t>
  </si>
  <si>
    <t xml:space="preserve">TXN000585</t>
  </si>
  <si>
    <t xml:space="preserve">TXN000586</t>
  </si>
  <si>
    <t xml:space="preserve">CUST0212</t>
  </si>
  <si>
    <t xml:space="preserve">LN00434</t>
  </si>
  <si>
    <t xml:space="preserve">TXN000587</t>
  </si>
  <si>
    <t xml:space="preserve">TXN000588</t>
  </si>
  <si>
    <t xml:space="preserve">CUST0392</t>
  </si>
  <si>
    <t xml:space="preserve">TXN000589</t>
  </si>
  <si>
    <t xml:space="preserve">TXN000590</t>
  </si>
  <si>
    <t xml:space="preserve">TXN000591</t>
  </si>
  <si>
    <t xml:space="preserve">CUST0659</t>
  </si>
  <si>
    <t xml:space="preserve">TXN000592</t>
  </si>
  <si>
    <t xml:space="preserve">LN00426</t>
  </si>
  <si>
    <t xml:space="preserve">TXN000593</t>
  </si>
  <si>
    <t xml:space="preserve">TXN000594</t>
  </si>
  <si>
    <t xml:space="preserve">TXN000595</t>
  </si>
  <si>
    <t xml:space="preserve">CUST0208</t>
  </si>
  <si>
    <t xml:space="preserve">TXN000596</t>
  </si>
  <si>
    <t xml:space="preserve">CUST0180</t>
  </si>
  <si>
    <t xml:space="preserve">TXN000597</t>
  </si>
  <si>
    <t xml:space="preserve">CUST0327</t>
  </si>
  <si>
    <t xml:space="preserve">TXN000598</t>
  </si>
  <si>
    <t xml:space="preserve">CUST0166</t>
  </si>
  <si>
    <t xml:space="preserve">TXN000599</t>
  </si>
  <si>
    <t xml:space="preserve">CUST0017</t>
  </si>
  <si>
    <t xml:space="preserve">TXN000600</t>
  </si>
  <si>
    <t xml:space="preserve">LN00497</t>
  </si>
  <si>
    <t xml:space="preserve">TXN000601</t>
  </si>
  <si>
    <t xml:space="preserve">CUST0623</t>
  </si>
  <si>
    <t xml:space="preserve">TXN000602</t>
  </si>
  <si>
    <t xml:space="preserve">TXN000603</t>
  </si>
  <si>
    <t xml:space="preserve">TXN000604</t>
  </si>
  <si>
    <t xml:space="preserve">TXN000605</t>
  </si>
  <si>
    <t xml:space="preserve">TXN000606</t>
  </si>
  <si>
    <t xml:space="preserve">TXN000607</t>
  </si>
  <si>
    <t xml:space="preserve">CUST0784</t>
  </si>
  <si>
    <t xml:space="preserve">TXN000608</t>
  </si>
  <si>
    <t xml:space="preserve">CUST0376</t>
  </si>
  <si>
    <t xml:space="preserve">TXN000609</t>
  </si>
  <si>
    <t xml:space="preserve">TXN000610</t>
  </si>
  <si>
    <t xml:space="preserve">TXN000611</t>
  </si>
  <si>
    <t xml:space="preserve">TXN000612</t>
  </si>
  <si>
    <t xml:space="preserve">CUST0791</t>
  </si>
  <si>
    <t xml:space="preserve">TXN000613</t>
  </si>
  <si>
    <t xml:space="preserve">TXN000614</t>
  </si>
  <si>
    <t xml:space="preserve">CUST0188</t>
  </si>
  <si>
    <t xml:space="preserve">TXN000615</t>
  </si>
  <si>
    <t xml:space="preserve">CUST0436</t>
  </si>
  <si>
    <t xml:space="preserve">TXN000616</t>
  </si>
  <si>
    <t xml:space="preserve">TXN000617</t>
  </si>
  <si>
    <t xml:space="preserve">CUST0574</t>
  </si>
  <si>
    <t xml:space="preserve">TXN000618</t>
  </si>
  <si>
    <t xml:space="preserve">CUST0725</t>
  </si>
  <si>
    <t xml:space="preserve">TXN000619</t>
  </si>
  <si>
    <t xml:space="preserve">TXN000620</t>
  </si>
  <si>
    <t xml:space="preserve">CUST0034</t>
  </si>
  <si>
    <t xml:space="preserve">TXN000621</t>
  </si>
  <si>
    <t xml:space="preserve">CUST0694</t>
  </si>
  <si>
    <t xml:space="preserve">TXN000622</t>
  </si>
  <si>
    <t xml:space="preserve">CUST0648</t>
  </si>
  <si>
    <t xml:space="preserve">LN00791</t>
  </si>
  <si>
    <t xml:space="preserve">TXN000623</t>
  </si>
  <si>
    <t xml:space="preserve">TXN000624</t>
  </si>
  <si>
    <t xml:space="preserve">CUST0731</t>
  </si>
  <si>
    <t xml:space="preserve">TXN000625</t>
  </si>
  <si>
    <t xml:space="preserve">CUST0382</t>
  </si>
  <si>
    <t xml:space="preserve">TXN000626</t>
  </si>
  <si>
    <t xml:space="preserve">TXN000627</t>
  </si>
  <si>
    <t xml:space="preserve">TXN000628</t>
  </si>
  <si>
    <t xml:space="preserve">CUST0239</t>
  </si>
  <si>
    <t xml:space="preserve">TXN000629</t>
  </si>
  <si>
    <t xml:space="preserve">TXN000630</t>
  </si>
  <si>
    <t xml:space="preserve">TXN000631</t>
  </si>
  <si>
    <t xml:space="preserve">CUST0076</t>
  </si>
  <si>
    <t xml:space="preserve">LN00167</t>
  </si>
  <si>
    <t xml:space="preserve">TXN000632</t>
  </si>
  <si>
    <t xml:space="preserve">CUST0734</t>
  </si>
  <si>
    <t xml:space="preserve">TXN000633</t>
  </si>
  <si>
    <t xml:space="preserve">TXN000634</t>
  </si>
  <si>
    <t xml:space="preserve">CUST0738</t>
  </si>
  <si>
    <t xml:space="preserve">TXN000635</t>
  </si>
  <si>
    <t xml:space="preserve">TXN000636</t>
  </si>
  <si>
    <t xml:space="preserve">CUST0458</t>
  </si>
  <si>
    <t xml:space="preserve">TXN000637</t>
  </si>
  <si>
    <t xml:space="preserve">TXN000638</t>
  </si>
  <si>
    <t xml:space="preserve">CUST0614</t>
  </si>
  <si>
    <t xml:space="preserve">LN00341</t>
  </si>
  <si>
    <t xml:space="preserve">TXN000639</t>
  </si>
  <si>
    <t xml:space="preserve">TXN000640</t>
  </si>
  <si>
    <t xml:space="preserve">TXN000641</t>
  </si>
  <si>
    <t xml:space="preserve">TXN000642</t>
  </si>
  <si>
    <t xml:space="preserve">CUST0189</t>
  </si>
  <si>
    <t xml:space="preserve">LN00844</t>
  </si>
  <si>
    <t xml:space="preserve">TXN000643</t>
  </si>
  <si>
    <t xml:space="preserve">TXN000644</t>
  </si>
  <si>
    <t xml:space="preserve">TXN000645</t>
  </si>
  <si>
    <t xml:space="preserve">LN00754</t>
  </si>
  <si>
    <t xml:space="preserve">TXN000646</t>
  </si>
  <si>
    <t xml:space="preserve">CUST0778</t>
  </si>
  <si>
    <t xml:space="preserve">TXN000647</t>
  </si>
  <si>
    <t xml:space="preserve">CUST0066</t>
  </si>
  <si>
    <t xml:space="preserve">TXN000648</t>
  </si>
  <si>
    <t xml:space="preserve">CUST0696</t>
  </si>
  <si>
    <t xml:space="preserve">TXN000649</t>
  </si>
  <si>
    <t xml:space="preserve">TXN000650</t>
  </si>
  <si>
    <t xml:space="preserve">CUST0745</t>
  </si>
  <si>
    <t xml:space="preserve">TXN000651</t>
  </si>
  <si>
    <t xml:space="preserve">TXN000652</t>
  </si>
  <si>
    <t xml:space="preserve">TXN000653</t>
  </si>
  <si>
    <t xml:space="preserve">LN00821</t>
  </si>
  <si>
    <t xml:space="preserve">TXN000654</t>
  </si>
  <si>
    <t xml:space="preserve">LN00427</t>
  </si>
  <si>
    <t xml:space="preserve">TXN000655</t>
  </si>
  <si>
    <t xml:space="preserve">TXN000656</t>
  </si>
  <si>
    <t xml:space="preserve">CUST0556</t>
  </si>
  <si>
    <t xml:space="preserve">TXN000657</t>
  </si>
  <si>
    <t xml:space="preserve">TXN000658</t>
  </si>
  <si>
    <t xml:space="preserve">CUST0793</t>
  </si>
  <si>
    <t xml:space="preserve">LN00990</t>
  </si>
  <si>
    <t xml:space="preserve">TXN000659</t>
  </si>
  <si>
    <t xml:space="preserve">CUST0041</t>
  </si>
  <si>
    <t xml:space="preserve">TXN000660</t>
  </si>
  <si>
    <t xml:space="preserve">TXN000661</t>
  </si>
  <si>
    <t xml:space="preserve">TXN000662</t>
  </si>
  <si>
    <t xml:space="preserve">CUST0740</t>
  </si>
  <si>
    <t xml:space="preserve">TXN000663</t>
  </si>
  <si>
    <t xml:space="preserve">TXN000664</t>
  </si>
  <si>
    <t xml:space="preserve">LN00209</t>
  </si>
  <si>
    <t xml:space="preserve">TXN000665</t>
  </si>
  <si>
    <t xml:space="preserve">CUST0054</t>
  </si>
  <si>
    <t xml:space="preserve">TXN000666</t>
  </si>
  <si>
    <t xml:space="preserve">TXN000667</t>
  </si>
  <si>
    <t xml:space="preserve">CUST0333</t>
  </si>
  <si>
    <t xml:space="preserve">TXN000668</t>
  </si>
  <si>
    <t xml:space="preserve">TXN000669</t>
  </si>
  <si>
    <t xml:space="preserve">TXN000670</t>
  </si>
  <si>
    <t xml:space="preserve">TXN000671</t>
  </si>
  <si>
    <t xml:space="preserve">TXN000672</t>
  </si>
  <si>
    <t xml:space="preserve">CUST0690</t>
  </si>
  <si>
    <t xml:space="preserve">TXN000673</t>
  </si>
  <si>
    <t xml:space="preserve">LN00565</t>
  </si>
  <si>
    <t xml:space="preserve">TXN000674</t>
  </si>
  <si>
    <t xml:space="preserve">LN00435</t>
  </si>
  <si>
    <t xml:space="preserve">TXN000675</t>
  </si>
  <si>
    <t xml:space="preserve">CUST0585</t>
  </si>
  <si>
    <t xml:space="preserve">LN00165</t>
  </si>
  <si>
    <t xml:space="preserve">TXN000676</t>
  </si>
  <si>
    <t xml:space="preserve">TXN000677</t>
  </si>
  <si>
    <t xml:space="preserve">TXN000678</t>
  </si>
  <si>
    <t xml:space="preserve">CUST0581</t>
  </si>
  <si>
    <t xml:space="preserve">TXN000679</t>
  </si>
  <si>
    <t xml:space="preserve">LN01089</t>
  </si>
  <si>
    <t xml:space="preserve">TXN000680</t>
  </si>
  <si>
    <t xml:space="preserve">TXN000681</t>
  </si>
  <si>
    <t xml:space="preserve">TXN000682</t>
  </si>
  <si>
    <t xml:space="preserve">TXN000683</t>
  </si>
  <si>
    <t xml:space="preserve">TXN000684</t>
  </si>
  <si>
    <t xml:space="preserve">CUST0788</t>
  </si>
  <si>
    <t xml:space="preserve">TXN000685</t>
  </si>
  <si>
    <t xml:space="preserve">CUST0161</t>
  </si>
  <si>
    <t xml:space="preserve">TXN000686</t>
  </si>
  <si>
    <t xml:space="preserve">CUST0312</t>
  </si>
  <si>
    <t xml:space="preserve">TXN000687</t>
  </si>
  <si>
    <t xml:space="preserve">CUST0610</t>
  </si>
  <si>
    <t xml:space="preserve">TXN000688</t>
  </si>
  <si>
    <t xml:space="preserve">TXN000689</t>
  </si>
  <si>
    <t xml:space="preserve">CUST0141</t>
  </si>
  <si>
    <t xml:space="preserve">TXN000690</t>
  </si>
  <si>
    <t xml:space="preserve">CUST0213</t>
  </si>
  <si>
    <t xml:space="preserve">TXN000691</t>
  </si>
  <si>
    <t xml:space="preserve">CUST0236</t>
  </si>
  <si>
    <t xml:space="preserve">TXN000692</t>
  </si>
  <si>
    <t xml:space="preserve">TXN000693</t>
  </si>
  <si>
    <t xml:space="preserve">CUST0049</t>
  </si>
  <si>
    <t xml:space="preserve">TXN000694</t>
  </si>
  <si>
    <t xml:space="preserve">CUST0110</t>
  </si>
  <si>
    <t xml:space="preserve">TXN000695</t>
  </si>
  <si>
    <t xml:space="preserve">CUST0495</t>
  </si>
  <si>
    <t xml:space="preserve">LN00094</t>
  </si>
  <si>
    <t xml:space="preserve">TXN000696</t>
  </si>
  <si>
    <t xml:space="preserve">TXN000697</t>
  </si>
  <si>
    <t xml:space="preserve">CUST0340</t>
  </si>
  <si>
    <t xml:space="preserve">TXN000698</t>
  </si>
  <si>
    <t xml:space="preserve">CUST0100</t>
  </si>
  <si>
    <t xml:space="preserve">TXN000699</t>
  </si>
  <si>
    <t xml:space="preserve">TXN000700</t>
  </si>
  <si>
    <t xml:space="preserve">CUST0303</t>
  </si>
  <si>
    <t xml:space="preserve">TXN000701</t>
  </si>
  <si>
    <t xml:space="preserve">CUST0009</t>
  </si>
  <si>
    <t xml:space="preserve">LN00691</t>
  </si>
  <si>
    <t xml:space="preserve">TXN000702</t>
  </si>
  <si>
    <t xml:space="preserve">TXN000703</t>
  </si>
  <si>
    <t xml:space="preserve">TXN000704</t>
  </si>
  <si>
    <t xml:space="preserve">TXN000705</t>
  </si>
  <si>
    <t xml:space="preserve">CUST0299</t>
  </si>
  <si>
    <t xml:space="preserve">TXN000706</t>
  </si>
  <si>
    <t xml:space="preserve">CUST0449</t>
  </si>
  <si>
    <t xml:space="preserve">TXN000707</t>
  </si>
  <si>
    <t xml:space="preserve">CUST0590</t>
  </si>
  <si>
    <t xml:space="preserve">LN01087</t>
  </si>
  <si>
    <t xml:space="preserve">TXN000708</t>
  </si>
  <si>
    <t xml:space="preserve">CUST0601</t>
  </si>
  <si>
    <t xml:space="preserve">TXN000709</t>
  </si>
  <si>
    <t xml:space="preserve">TXN000710</t>
  </si>
  <si>
    <t xml:space="preserve">TXN000711</t>
  </si>
  <si>
    <t xml:space="preserve">CUST0379</t>
  </si>
  <si>
    <t xml:space="preserve">TXN000712</t>
  </si>
  <si>
    <t xml:space="preserve">TXN000713</t>
  </si>
  <si>
    <t xml:space="preserve">CUST0426</t>
  </si>
  <si>
    <t xml:space="preserve">TXN000714</t>
  </si>
  <si>
    <t xml:space="preserve">CUST0679</t>
  </si>
  <si>
    <t xml:space="preserve">TXN000715</t>
  </si>
  <si>
    <t xml:space="preserve">CUST0609</t>
  </si>
  <si>
    <t xml:space="preserve">TXN000716</t>
  </si>
  <si>
    <t xml:space="preserve">TXN000717</t>
  </si>
  <si>
    <t xml:space="preserve">CUST0311</t>
  </si>
  <si>
    <t xml:space="preserve">TXN000718</t>
  </si>
  <si>
    <t xml:space="preserve">CUST0085</t>
  </si>
  <si>
    <t xml:space="preserve">LN00009</t>
  </si>
  <si>
    <t xml:space="preserve">TXN000719</t>
  </si>
  <si>
    <t xml:space="preserve">CUST0094</t>
  </si>
  <si>
    <t xml:space="preserve">TXN000720</t>
  </si>
  <si>
    <t xml:space="preserve">TXN000721</t>
  </si>
  <si>
    <t xml:space="preserve">TXN000722</t>
  </si>
  <si>
    <t xml:space="preserve">CUST0602</t>
  </si>
  <si>
    <t xml:space="preserve">TXN000723</t>
  </si>
  <si>
    <t xml:space="preserve">TXN000724</t>
  </si>
  <si>
    <t xml:space="preserve">TXN000725</t>
  </si>
  <si>
    <t xml:space="preserve">TXN000726</t>
  </si>
  <si>
    <t xml:space="preserve">TXN000727</t>
  </si>
  <si>
    <t xml:space="preserve">LN00052</t>
  </si>
  <si>
    <t xml:space="preserve">TXN000728</t>
  </si>
  <si>
    <t xml:space="preserve">TXN000729</t>
  </si>
  <si>
    <t xml:space="preserve">CUST0722</t>
  </si>
  <si>
    <t xml:space="preserve">TXN000730</t>
  </si>
  <si>
    <t xml:space="preserve">CUST0232</t>
  </si>
  <si>
    <t xml:space="preserve">TXN000731</t>
  </si>
  <si>
    <t xml:space="preserve">TXN000732</t>
  </si>
  <si>
    <t xml:space="preserve">CUST0097</t>
  </si>
  <si>
    <t xml:space="preserve">TXN000733</t>
  </si>
  <si>
    <t xml:space="preserve">TXN000734</t>
  </si>
  <si>
    <t xml:space="preserve">TXN000735</t>
  </si>
  <si>
    <t xml:space="preserve">TXN000736</t>
  </si>
  <si>
    <t xml:space="preserve">TXN000737</t>
  </si>
  <si>
    <t xml:space="preserve">CUST0045</t>
  </si>
  <si>
    <t xml:space="preserve">TXN000738</t>
  </si>
  <si>
    <t xml:space="preserve">TXN000739</t>
  </si>
  <si>
    <t xml:space="preserve">TXN000740</t>
  </si>
  <si>
    <t xml:space="preserve">TXN000741</t>
  </si>
  <si>
    <t xml:space="preserve">CUST0698</t>
  </si>
  <si>
    <t xml:space="preserve">TXN000742</t>
  </si>
  <si>
    <t xml:space="preserve">TXN000743</t>
  </si>
  <si>
    <t xml:space="preserve">TXN000744</t>
  </si>
  <si>
    <t xml:space="preserve">CUST0423</t>
  </si>
  <si>
    <t xml:space="preserve">TXN000745</t>
  </si>
  <si>
    <t xml:space="preserve">CUST0186</t>
  </si>
  <si>
    <t xml:space="preserve">TXN000746</t>
  </si>
  <si>
    <t xml:space="preserve">TXN000747</t>
  </si>
  <si>
    <t xml:space="preserve">CUST0216</t>
  </si>
  <si>
    <t xml:space="preserve">LN00478</t>
  </si>
  <si>
    <t xml:space="preserve">TXN000748</t>
  </si>
  <si>
    <t xml:space="preserve">CUST0718</t>
  </si>
  <si>
    <t xml:space="preserve">TXN000749</t>
  </si>
  <si>
    <t xml:space="preserve">TXN000750</t>
  </si>
  <si>
    <t xml:space="preserve">TXN000751</t>
  </si>
  <si>
    <t xml:space="preserve">TXN000752</t>
  </si>
  <si>
    <t xml:space="preserve">TXN000753</t>
  </si>
  <si>
    <t xml:space="preserve">TXN000754</t>
  </si>
  <si>
    <t xml:space="preserve">CUST0331</t>
  </si>
  <si>
    <t xml:space="preserve">LN00293</t>
  </si>
  <si>
    <t xml:space="preserve">TXN000755</t>
  </si>
  <si>
    <t xml:space="preserve">TXN000756</t>
  </si>
  <si>
    <t xml:space="preserve">TXN000757</t>
  </si>
  <si>
    <t xml:space="preserve">TXN000758</t>
  </si>
  <si>
    <t xml:space="preserve">TXN000759</t>
  </si>
  <si>
    <t xml:space="preserve">TXN000760</t>
  </si>
  <si>
    <t xml:space="preserve">CUST0522</t>
  </si>
  <si>
    <t xml:space="preserve">TXN000761</t>
  </si>
  <si>
    <t xml:space="preserve">CUST0502</t>
  </si>
  <si>
    <t xml:space="preserve">TXN000762</t>
  </si>
  <si>
    <t xml:space="preserve">TXN000763</t>
  </si>
  <si>
    <t xml:space="preserve">CUST0511</t>
  </si>
  <si>
    <t xml:space="preserve">LN00854</t>
  </si>
  <si>
    <t xml:space="preserve">TXN000764</t>
  </si>
  <si>
    <t xml:space="preserve">TXN000765</t>
  </si>
  <si>
    <t xml:space="preserve">CUST0230</t>
  </si>
  <si>
    <t xml:space="preserve">TXN000766</t>
  </si>
  <si>
    <t xml:space="preserve">TXN000767</t>
  </si>
  <si>
    <t xml:space="preserve">TXN000768</t>
  </si>
  <si>
    <t xml:space="preserve">TXN000769</t>
  </si>
  <si>
    <t xml:space="preserve">TXN000770</t>
  </si>
  <si>
    <t xml:space="preserve">TXN000771</t>
  </si>
  <si>
    <t xml:space="preserve">CUST0394</t>
  </si>
  <si>
    <t xml:space="preserve">TXN000772</t>
  </si>
  <si>
    <t xml:space="preserve">CUST0559</t>
  </si>
  <si>
    <t xml:space="preserve">LN00932</t>
  </si>
  <si>
    <t xml:space="preserve">TXN000773</t>
  </si>
  <si>
    <t xml:space="preserve">TXN000774</t>
  </si>
  <si>
    <t xml:space="preserve">TXN000775</t>
  </si>
  <si>
    <t xml:space="preserve">CUST0407</t>
  </si>
  <si>
    <t xml:space="preserve">TXN000776</t>
  </si>
  <si>
    <t xml:space="preserve">TXN000777</t>
  </si>
  <si>
    <t xml:space="preserve">CUST0330</t>
  </si>
  <si>
    <t xml:space="preserve">TXN000778</t>
  </si>
  <si>
    <t xml:space="preserve">CUST0424</t>
  </si>
  <si>
    <t xml:space="preserve">TXN000779</t>
  </si>
  <si>
    <t xml:space="preserve">LN00037</t>
  </si>
  <si>
    <t xml:space="preserve">TXN000780</t>
  </si>
  <si>
    <t xml:space="preserve">CUST0003</t>
  </si>
  <si>
    <t xml:space="preserve">TXN000781</t>
  </si>
  <si>
    <t xml:space="preserve">TXN000782</t>
  </si>
  <si>
    <t xml:space="preserve">TXN000783</t>
  </si>
  <si>
    <t xml:space="preserve">TXN000784</t>
  </si>
  <si>
    <t xml:space="preserve">CUST0675</t>
  </si>
  <si>
    <t xml:space="preserve">TXN000785</t>
  </si>
  <si>
    <t xml:space="preserve">TXN000786</t>
  </si>
  <si>
    <t xml:space="preserve">TXN000787</t>
  </si>
  <si>
    <t xml:space="preserve">TXN000788</t>
  </si>
  <si>
    <t xml:space="preserve">TXN000789</t>
  </si>
  <si>
    <t xml:space="preserve">TXN000790</t>
  </si>
  <si>
    <t xml:space="preserve">CUST0070</t>
  </si>
  <si>
    <t xml:space="preserve">TXN000791</t>
  </si>
  <si>
    <t xml:space="preserve">TXN000792</t>
  </si>
  <si>
    <t xml:space="preserve">TXN000793</t>
  </si>
  <si>
    <t xml:space="preserve">LN01043</t>
  </si>
  <si>
    <t xml:space="preserve">TXN000794</t>
  </si>
  <si>
    <t xml:space="preserve">TXN000795</t>
  </si>
  <si>
    <t xml:space="preserve">TXN000796</t>
  </si>
  <si>
    <t xml:space="preserve">TXN000797</t>
  </si>
  <si>
    <t xml:space="preserve">TXN000798</t>
  </si>
  <si>
    <t xml:space="preserve">TXN000799</t>
  </si>
  <si>
    <t xml:space="preserve">CUST0579</t>
  </si>
  <si>
    <t xml:space="preserve">TXN000800</t>
  </si>
  <si>
    <t xml:space="preserve">CUST0140</t>
  </si>
  <si>
    <t xml:space="preserve">TXN000801</t>
  </si>
  <si>
    <t xml:space="preserve">TXN000802</t>
  </si>
  <si>
    <t xml:space="preserve">CUST0541</t>
  </si>
  <si>
    <t xml:space="preserve">TXN000803</t>
  </si>
  <si>
    <t xml:space="preserve">TXN000804</t>
  </si>
  <si>
    <t xml:space="preserve">LN00010</t>
  </si>
  <si>
    <t xml:space="preserve">TXN000805</t>
  </si>
  <si>
    <t xml:space="preserve">LN00525</t>
  </si>
  <si>
    <t xml:space="preserve">TXN000806</t>
  </si>
  <si>
    <t xml:space="preserve">CUST0296</t>
  </si>
  <si>
    <t xml:space="preserve">TXN000807</t>
  </si>
  <si>
    <t xml:space="preserve">TXN000808</t>
  </si>
  <si>
    <t xml:space="preserve">TXN000809</t>
  </si>
  <si>
    <t xml:space="preserve">TXN000810</t>
  </si>
  <si>
    <t xml:space="preserve">TXN000811</t>
  </si>
  <si>
    <t xml:space="preserve">TXN000812</t>
  </si>
  <si>
    <t xml:space="preserve">CUST0052</t>
  </si>
  <si>
    <t xml:space="preserve">TXN000813</t>
  </si>
  <si>
    <t xml:space="preserve">CUST0316</t>
  </si>
  <si>
    <t xml:space="preserve">TXN000814</t>
  </si>
  <si>
    <t xml:space="preserve">TXN000815</t>
  </si>
  <si>
    <t xml:space="preserve">TXN000816</t>
  </si>
  <si>
    <t xml:space="preserve">TXN000817</t>
  </si>
  <si>
    <t xml:space="preserve">CUST0770</t>
  </si>
  <si>
    <t xml:space="preserve">TXN000818</t>
  </si>
  <si>
    <t xml:space="preserve">TXN000819</t>
  </si>
  <si>
    <t xml:space="preserve">TXN000820</t>
  </si>
  <si>
    <t xml:space="preserve">TXN000821</t>
  </si>
  <si>
    <t xml:space="preserve">CUST0237</t>
  </si>
  <si>
    <t xml:space="preserve">TXN000822</t>
  </si>
  <si>
    <t xml:space="preserve">TXN000823</t>
  </si>
  <si>
    <t xml:space="preserve">CUST0555</t>
  </si>
  <si>
    <t xml:space="preserve">LN00963</t>
  </si>
  <si>
    <t xml:space="preserve">TXN000824</t>
  </si>
  <si>
    <t xml:space="preserve">CUST0154</t>
  </si>
  <si>
    <t xml:space="preserve">TXN000825</t>
  </si>
  <si>
    <t xml:space="preserve">LN00100</t>
  </si>
  <si>
    <t xml:space="preserve">TXN000826</t>
  </si>
  <si>
    <t xml:space="preserve">CUST0700</t>
  </si>
  <si>
    <t xml:space="preserve">TXN000827</t>
  </si>
  <si>
    <t xml:space="preserve">TXN000828</t>
  </si>
  <si>
    <t xml:space="preserve">TXN000829</t>
  </si>
  <si>
    <t xml:space="preserve">CUST0196</t>
  </si>
  <si>
    <t xml:space="preserve">TXN000830</t>
  </si>
  <si>
    <t xml:space="preserve">TXN000831</t>
  </si>
  <si>
    <t xml:space="preserve">CUST0224</t>
  </si>
  <si>
    <t xml:space="preserve">TXN000832</t>
  </si>
  <si>
    <t xml:space="preserve">LN00499</t>
  </si>
  <si>
    <t xml:space="preserve">TXN000833</t>
  </si>
  <si>
    <t xml:space="preserve">TXN000834</t>
  </si>
  <si>
    <t xml:space="preserve">CUST0205</t>
  </si>
  <si>
    <t xml:space="preserve">TXN000835</t>
  </si>
  <si>
    <t xml:space="preserve">TXN000836</t>
  </si>
  <si>
    <t xml:space="preserve">CUST0746</t>
  </si>
  <si>
    <t xml:space="preserve">TXN000837</t>
  </si>
  <si>
    <t xml:space="preserve">CUST0375</t>
  </si>
  <si>
    <t xml:space="preserve">LN00149</t>
  </si>
  <si>
    <t xml:space="preserve">TXN000838</t>
  </si>
  <si>
    <t xml:space="preserve">TXN000839</t>
  </si>
  <si>
    <t xml:space="preserve">TXN000840</t>
  </si>
  <si>
    <t xml:space="preserve">TXN000841</t>
  </si>
  <si>
    <t xml:space="preserve">TXN000842</t>
  </si>
  <si>
    <t xml:space="preserve">TXN000843</t>
  </si>
  <si>
    <t xml:space="preserve">TXN000844</t>
  </si>
  <si>
    <t xml:space="preserve">TXN000845</t>
  </si>
  <si>
    <t xml:space="preserve">CUST0283</t>
  </si>
  <si>
    <t xml:space="preserve">LN00711</t>
  </si>
  <si>
    <t xml:space="preserve">TXN000846</t>
  </si>
  <si>
    <t xml:space="preserve">TXN000847</t>
  </si>
  <si>
    <t xml:space="preserve">TXN000848</t>
  </si>
  <si>
    <t xml:space="preserve">TXN000849</t>
  </si>
  <si>
    <t xml:space="preserve">TXN000850</t>
  </si>
  <si>
    <t xml:space="preserve">CUST0204</t>
  </si>
  <si>
    <t xml:space="preserve">TXN000851</t>
  </si>
  <si>
    <t xml:space="preserve">CUST0682</t>
  </si>
  <si>
    <t xml:space="preserve">TXN000852</t>
  </si>
  <si>
    <t xml:space="preserve">CUST0006</t>
  </si>
  <si>
    <t xml:space="preserve">LN00812</t>
  </si>
  <si>
    <t xml:space="preserve">TXN000853</t>
  </si>
  <si>
    <t xml:space="preserve">CUST0353</t>
  </si>
  <si>
    <t xml:space="preserve">TXN000854</t>
  </si>
  <si>
    <t xml:space="preserve">CUST0048</t>
  </si>
  <si>
    <t xml:space="preserve">LN00355</t>
  </si>
  <si>
    <t xml:space="preserve">TXN000855</t>
  </si>
  <si>
    <t xml:space="preserve">TXN000856</t>
  </si>
  <si>
    <t xml:space="preserve">TXN000857</t>
  </si>
  <si>
    <t xml:space="preserve">TXN000858</t>
  </si>
  <si>
    <t xml:space="preserve">CUST0670</t>
  </si>
  <si>
    <t xml:space="preserve">TXN000859</t>
  </si>
  <si>
    <t xml:space="preserve">CUST0588</t>
  </si>
  <si>
    <t xml:space="preserve">TXN000860</t>
  </si>
  <si>
    <t xml:space="preserve">TXN000861</t>
  </si>
  <si>
    <t xml:space="preserve">TXN000862</t>
  </si>
  <si>
    <t xml:space="preserve">TXN000863</t>
  </si>
  <si>
    <t xml:space="preserve">CUST0677</t>
  </si>
  <si>
    <t xml:space="preserve">TXN000864</t>
  </si>
  <si>
    <t xml:space="preserve">TXN000865</t>
  </si>
  <si>
    <t xml:space="preserve">CUST0371</t>
  </si>
  <si>
    <t xml:space="preserve">TXN000866</t>
  </si>
  <si>
    <t xml:space="preserve">TXN000867</t>
  </si>
  <si>
    <t xml:space="preserve">TXN000868</t>
  </si>
  <si>
    <t xml:space="preserve">TXN000869</t>
  </si>
  <si>
    <t xml:space="preserve">TXN000870</t>
  </si>
  <si>
    <t xml:space="preserve">CUST0184</t>
  </si>
  <si>
    <t xml:space="preserve">TXN000871</t>
  </si>
  <si>
    <t xml:space="preserve">TXN000872</t>
  </si>
  <si>
    <t xml:space="preserve">CUST0171</t>
  </si>
  <si>
    <t xml:space="preserve">TXN000873</t>
  </si>
  <si>
    <t xml:space="preserve">TXN000874</t>
  </si>
  <si>
    <t xml:space="preserve">CUST0324</t>
  </si>
  <si>
    <t xml:space="preserve">TXN000875</t>
  </si>
  <si>
    <t xml:space="preserve">TXN000876</t>
  </si>
  <si>
    <t xml:space="preserve">TXN000877</t>
  </si>
  <si>
    <t xml:space="preserve">TXN000878</t>
  </si>
  <si>
    <t xml:space="preserve">LN00951</t>
  </si>
  <si>
    <t xml:space="preserve">TXN000879</t>
  </si>
  <si>
    <t xml:space="preserve">CUST0320</t>
  </si>
  <si>
    <t xml:space="preserve">LN00042</t>
  </si>
  <si>
    <t xml:space="preserve">TXN000880</t>
  </si>
  <si>
    <t xml:space="preserve">CUST0584</t>
  </si>
  <si>
    <t xml:space="preserve">TXN000881</t>
  </si>
  <si>
    <t xml:space="preserve">CUST0756</t>
  </si>
  <si>
    <t xml:space="preserve">LN00627</t>
  </si>
  <si>
    <t xml:space="preserve">TXN000882</t>
  </si>
  <si>
    <t xml:space="preserve">LN00744</t>
  </si>
  <si>
    <t xml:space="preserve">TXN000883</t>
  </si>
  <si>
    <t xml:space="preserve">TXN000884</t>
  </si>
  <si>
    <t xml:space="preserve">TXN000885</t>
  </si>
  <si>
    <t xml:space="preserve">TXN000886</t>
  </si>
  <si>
    <t xml:space="preserve">TXN000887</t>
  </si>
  <si>
    <t xml:space="preserve">LN01020</t>
  </si>
  <si>
    <t xml:space="preserve">TXN000888</t>
  </si>
  <si>
    <t xml:space="preserve">TXN000889</t>
  </si>
  <si>
    <t xml:space="preserve">TXN000890</t>
  </si>
  <si>
    <t xml:space="preserve">TXN000891</t>
  </si>
  <si>
    <t xml:space="preserve">TXN000892</t>
  </si>
  <si>
    <t xml:space="preserve">CUST0666</t>
  </si>
  <si>
    <t xml:space="preserve">LN00228</t>
  </si>
  <si>
    <t xml:space="preserve">TXN000893</t>
  </si>
  <si>
    <t xml:space="preserve">TXN000894</t>
  </si>
  <si>
    <t xml:space="preserve">LN00493</t>
  </si>
  <si>
    <t xml:space="preserve">TXN000895</t>
  </si>
  <si>
    <t xml:space="preserve">TXN000896</t>
  </si>
  <si>
    <t xml:space="preserve">TXN000897</t>
  </si>
  <si>
    <t xml:space="preserve">TXN000898</t>
  </si>
  <si>
    <t xml:space="preserve">CUST0219</t>
  </si>
  <si>
    <t xml:space="preserve">TXN000899</t>
  </si>
  <si>
    <t xml:space="preserve">TXN000900</t>
  </si>
  <si>
    <t xml:space="preserve">CUST0456</t>
  </si>
  <si>
    <t xml:space="preserve">TXN000901</t>
  </si>
  <si>
    <t xml:space="preserve">TXN000902</t>
  </si>
  <si>
    <t xml:space="preserve">TXN000903</t>
  </si>
  <si>
    <t xml:space="preserve">CUST0201</t>
  </si>
  <si>
    <t xml:space="preserve">LN00827</t>
  </si>
  <si>
    <t xml:space="preserve">TXN000904</t>
  </si>
  <si>
    <t xml:space="preserve">TXN000905</t>
  </si>
  <si>
    <t xml:space="preserve">TXN000906</t>
  </si>
  <si>
    <t xml:space="preserve">CUST0605</t>
  </si>
  <si>
    <t xml:space="preserve">TXN000907</t>
  </si>
  <si>
    <t xml:space="preserve">CUST0040</t>
  </si>
  <si>
    <t xml:space="preserve">TXN000908</t>
  </si>
  <si>
    <t xml:space="preserve">TXN000909</t>
  </si>
  <si>
    <t xml:space="preserve">TXN000910</t>
  </si>
  <si>
    <t xml:space="preserve">TXN000911</t>
  </si>
  <si>
    <t xml:space="preserve">TXN000912</t>
  </si>
  <si>
    <t xml:space="preserve">TXN000913</t>
  </si>
  <si>
    <t xml:space="preserve">TXN000914</t>
  </si>
  <si>
    <t xml:space="preserve">TXN000915</t>
  </si>
  <si>
    <t xml:space="preserve">TXN000916</t>
  </si>
  <si>
    <t xml:space="preserve">CUST0348</t>
  </si>
  <si>
    <t xml:space="preserve">TXN000917</t>
  </si>
  <si>
    <t xml:space="preserve">CUST0534</t>
  </si>
  <si>
    <t xml:space="preserve">TXN000918</t>
  </si>
  <si>
    <t xml:space="preserve">TXN000919</t>
  </si>
  <si>
    <t xml:space="preserve">TXN000920</t>
  </si>
  <si>
    <t xml:space="preserve">TXN000921</t>
  </si>
  <si>
    <t xml:space="preserve">CUST0265</t>
  </si>
  <si>
    <t xml:space="preserve">TXN000922</t>
  </si>
  <si>
    <t xml:space="preserve">TXN000923</t>
  </si>
  <si>
    <t xml:space="preserve">CUST0043</t>
  </si>
  <si>
    <t xml:space="preserve">TXN000924</t>
  </si>
  <si>
    <t xml:space="preserve">CUST0552</t>
  </si>
  <si>
    <t xml:space="preserve">TXN000925</t>
  </si>
  <si>
    <t xml:space="preserve">TXN000926</t>
  </si>
  <si>
    <t xml:space="preserve">TXN000927</t>
  </si>
  <si>
    <t xml:space="preserve">TXN000928</t>
  </si>
  <si>
    <t xml:space="preserve">TXN000929</t>
  </si>
  <si>
    <t xml:space="preserve">TXN000930</t>
  </si>
  <si>
    <t xml:space="preserve">TXN000931</t>
  </si>
  <si>
    <t xml:space="preserve">TXN000932</t>
  </si>
  <si>
    <t xml:space="preserve">TXN000933</t>
  </si>
  <si>
    <t xml:space="preserve">TXN000934</t>
  </si>
  <si>
    <t xml:space="preserve">TXN000935</t>
  </si>
  <si>
    <t xml:space="preserve">TXN000936</t>
  </si>
  <si>
    <t xml:space="preserve">TXN000937</t>
  </si>
  <si>
    <t xml:space="preserve">TXN000938</t>
  </si>
  <si>
    <t xml:space="preserve">TXN000939</t>
  </si>
  <si>
    <t xml:space="preserve">LN00528</t>
  </si>
  <si>
    <t xml:space="preserve">TXN000940</t>
  </si>
  <si>
    <t xml:space="preserve">TXN000941</t>
  </si>
  <si>
    <t xml:space="preserve">TXN000942</t>
  </si>
  <si>
    <t xml:space="preserve">TXN000943</t>
  </si>
  <si>
    <t xml:space="preserve">LN01065</t>
  </si>
  <si>
    <t xml:space="preserve">TXN000944</t>
  </si>
  <si>
    <t xml:space="preserve">TXN000945</t>
  </si>
  <si>
    <t xml:space="preserve">TXN000946</t>
  </si>
  <si>
    <t xml:space="preserve">TXN000947</t>
  </si>
  <si>
    <t xml:space="preserve">TXN000948</t>
  </si>
  <si>
    <t xml:space="preserve">TXN000949</t>
  </si>
  <si>
    <t xml:space="preserve">TXN000950</t>
  </si>
  <si>
    <t xml:space="preserve">TXN000951</t>
  </si>
  <si>
    <t xml:space="preserve">TXN000952</t>
  </si>
  <si>
    <t xml:space="preserve">TXN000953</t>
  </si>
  <si>
    <t xml:space="preserve">CUST0122</t>
  </si>
  <si>
    <t xml:space="preserve">TXN000954</t>
  </si>
  <si>
    <t xml:space="preserve">TXN000955</t>
  </si>
  <si>
    <t xml:space="preserve">CUST0336</t>
  </si>
  <si>
    <t xml:space="preserve">TXN000956</t>
  </si>
  <si>
    <t xml:space="preserve">TXN000957</t>
  </si>
  <si>
    <t xml:space="preserve">TXN000958</t>
  </si>
  <si>
    <t xml:space="preserve">CUST0760</t>
  </si>
  <si>
    <t xml:space="preserve">TXN000959</t>
  </si>
  <si>
    <t xml:space="preserve">TXN000960</t>
  </si>
  <si>
    <t xml:space="preserve">CUST0427</t>
  </si>
  <si>
    <t xml:space="preserve">TXN000961</t>
  </si>
  <si>
    <t xml:space="preserve">TXN000962</t>
  </si>
  <si>
    <t xml:space="preserve">TXN000963</t>
  </si>
  <si>
    <t xml:space="preserve">TXN000964</t>
  </si>
  <si>
    <t xml:space="preserve">TXN000965</t>
  </si>
  <si>
    <t xml:space="preserve">CUST0172</t>
  </si>
  <si>
    <t xml:space="preserve">TXN000966</t>
  </si>
  <si>
    <t xml:space="preserve">TXN000967</t>
  </si>
  <si>
    <t xml:space="preserve">CUST0249</t>
  </si>
  <si>
    <t xml:space="preserve">TXN000968</t>
  </si>
  <si>
    <t xml:space="preserve">TXN000969</t>
  </si>
  <si>
    <t xml:space="preserve">TXN000970</t>
  </si>
  <si>
    <t xml:space="preserve">TXN000971</t>
  </si>
  <si>
    <t xml:space="preserve">TXN000972</t>
  </si>
  <si>
    <t xml:space="preserve">CUST0401</t>
  </si>
  <si>
    <t xml:space="preserve">TXN000973</t>
  </si>
  <si>
    <t xml:space="preserve">TXN000974</t>
  </si>
  <si>
    <t xml:space="preserve">TXN000975</t>
  </si>
  <si>
    <t xml:space="preserve">CUST0530</t>
  </si>
  <si>
    <t xml:space="preserve">TXN000976</t>
  </si>
  <si>
    <t xml:space="preserve">CUST0210</t>
  </si>
  <si>
    <t xml:space="preserve">TXN000977</t>
  </si>
  <si>
    <t xml:space="preserve">TXN000978</t>
  </si>
  <si>
    <t xml:space="preserve">CUST0149</t>
  </si>
  <si>
    <t xml:space="preserve">TXN000979</t>
  </si>
  <si>
    <t xml:space="preserve">CUST0455</t>
  </si>
  <si>
    <t xml:space="preserve">TXN000980</t>
  </si>
  <si>
    <t xml:space="preserve">TXN000981</t>
  </si>
  <si>
    <t xml:space="preserve">CUST0755</t>
  </si>
  <si>
    <t xml:space="preserve">TXN000982</t>
  </si>
  <si>
    <t xml:space="preserve">TXN000983</t>
  </si>
  <si>
    <t xml:space="preserve">CUST0570</t>
  </si>
  <si>
    <t xml:space="preserve">TXN000984</t>
  </si>
  <si>
    <t xml:space="preserve">TXN000985</t>
  </si>
  <si>
    <t xml:space="preserve">CUST0215</t>
  </si>
  <si>
    <t xml:space="preserve">TXN000986</t>
  </si>
  <si>
    <t xml:space="preserve">CUST0448</t>
  </si>
  <si>
    <t xml:space="preserve">TXN000987</t>
  </si>
  <si>
    <t xml:space="preserve">TXN000988</t>
  </si>
  <si>
    <t xml:space="preserve">CUST0270</t>
  </si>
  <si>
    <t xml:space="preserve">LN00861</t>
  </si>
  <si>
    <t xml:space="preserve">TXN000989</t>
  </si>
  <si>
    <t xml:space="preserve">LN00962</t>
  </si>
  <si>
    <t xml:space="preserve">TXN000990</t>
  </si>
  <si>
    <t xml:space="preserve">TXN000991</t>
  </si>
  <si>
    <t xml:space="preserve">CUST0654</t>
  </si>
  <si>
    <t xml:space="preserve">TXN000992</t>
  </si>
  <si>
    <t xml:space="preserve">LN00934</t>
  </si>
  <si>
    <t xml:space="preserve">TXN000993</t>
  </si>
  <si>
    <t xml:space="preserve">TXN000994</t>
  </si>
  <si>
    <t xml:space="preserve">TXN000995</t>
  </si>
  <si>
    <t xml:space="preserve">TXN000996</t>
  </si>
  <si>
    <t xml:space="preserve">TXN000997</t>
  </si>
  <si>
    <t xml:space="preserve">CUST0369</t>
  </si>
  <si>
    <t xml:space="preserve">TXN000998</t>
  </si>
  <si>
    <t xml:space="preserve">TXN000999</t>
  </si>
  <si>
    <t xml:space="preserve">TXN001000</t>
  </si>
  <si>
    <t xml:space="preserve">TXN001001</t>
  </si>
  <si>
    <t xml:space="preserve">LN00645</t>
  </si>
  <si>
    <t xml:space="preserve">TXN001002</t>
  </si>
  <si>
    <t xml:space="preserve">TXN001003</t>
  </si>
  <si>
    <t xml:space="preserve">TXN001004</t>
  </si>
  <si>
    <t xml:space="preserve">TXN001005</t>
  </si>
  <si>
    <t xml:space="preserve">TXN001006</t>
  </si>
  <si>
    <t xml:space="preserve">TXN001007</t>
  </si>
  <si>
    <t xml:space="preserve">TXN001008</t>
  </si>
  <si>
    <t xml:space="preserve">CUST0046</t>
  </si>
  <si>
    <t xml:space="preserve">TXN001009</t>
  </si>
  <si>
    <t xml:space="preserve">TXN001010</t>
  </si>
  <si>
    <t xml:space="preserve">LN00008</t>
  </si>
  <si>
    <t xml:space="preserve">TXN001011</t>
  </si>
  <si>
    <t xml:space="preserve">TXN001012</t>
  </si>
  <si>
    <t xml:space="preserve">CUST0642</t>
  </si>
  <si>
    <t xml:space="preserve">LN00656</t>
  </si>
  <si>
    <t xml:space="preserve">TXN001013</t>
  </si>
  <si>
    <t xml:space="preserve">TXN001014</t>
  </si>
  <si>
    <t xml:space="preserve">TXN001015</t>
  </si>
  <si>
    <t xml:space="preserve">CUST0691</t>
  </si>
  <si>
    <t xml:space="preserve">TXN001016</t>
  </si>
  <si>
    <t xml:space="preserve">CUST0618</t>
  </si>
  <si>
    <t xml:space="preserve">TXN001017</t>
  </si>
  <si>
    <t xml:space="preserve">TXN001018</t>
  </si>
  <si>
    <t xml:space="preserve">TXN001019</t>
  </si>
  <si>
    <t xml:space="preserve">TXN001020</t>
  </si>
  <si>
    <t xml:space="preserve">CUST0434</t>
  </si>
  <si>
    <t xml:space="preserve">TXN001021</t>
  </si>
  <si>
    <t xml:space="preserve">CUST0712</t>
  </si>
  <si>
    <t xml:space="preserve">TXN001022</t>
  </si>
  <si>
    <t xml:space="preserve">TXN001023</t>
  </si>
  <si>
    <t xml:space="preserve">TXN001024</t>
  </si>
  <si>
    <t xml:space="preserve">TXN001025</t>
  </si>
  <si>
    <t xml:space="preserve">TXN001026</t>
  </si>
  <si>
    <t xml:space="preserve">CUST0650</t>
  </si>
  <si>
    <t xml:space="preserve">TXN001027</t>
  </si>
  <si>
    <t xml:space="preserve">LN00420</t>
  </si>
  <si>
    <t xml:space="preserve">TXN001028</t>
  </si>
  <si>
    <t xml:space="preserve">TXN001029</t>
  </si>
  <si>
    <t xml:space="preserve">CUST0344</t>
  </si>
  <si>
    <t xml:space="preserve">TXN001030</t>
  </si>
  <si>
    <t xml:space="preserve">TXN001031</t>
  </si>
  <si>
    <t xml:space="preserve">TXN001032</t>
  </si>
  <si>
    <t xml:space="preserve">TXN001033</t>
  </si>
  <si>
    <t xml:space="preserve">TXN001034</t>
  </si>
  <si>
    <t xml:space="preserve">TXN001035</t>
  </si>
  <si>
    <t xml:space="preserve">TXN001036</t>
  </si>
  <si>
    <t xml:space="preserve">TXN001037</t>
  </si>
  <si>
    <t xml:space="preserve">TXN001038</t>
  </si>
  <si>
    <t xml:space="preserve">TXN001039</t>
  </si>
  <si>
    <t xml:space="preserve">TXN001040</t>
  </si>
  <si>
    <t xml:space="preserve">TXN001041</t>
  </si>
  <si>
    <t xml:space="preserve">TXN001042</t>
  </si>
  <si>
    <t xml:space="preserve">TXN001043</t>
  </si>
  <si>
    <t xml:space="preserve">CUST0695</t>
  </si>
  <si>
    <t xml:space="preserve">TXN001044</t>
  </si>
  <si>
    <t xml:space="preserve">TXN001045</t>
  </si>
  <si>
    <t xml:space="preserve">TXN001046</t>
  </si>
  <si>
    <t xml:space="preserve">TXN001047</t>
  </si>
  <si>
    <t xml:space="preserve">TXN001048</t>
  </si>
  <si>
    <t xml:space="preserve">TXN001049</t>
  </si>
  <si>
    <t xml:space="preserve">CUST0494</t>
  </si>
  <si>
    <t xml:space="preserve">TXN001050</t>
  </si>
  <si>
    <t xml:space="preserve">TXN001051</t>
  </si>
  <si>
    <t xml:space="preserve">TXN001052</t>
  </si>
  <si>
    <t xml:space="preserve">TXN001053</t>
  </si>
  <si>
    <t xml:space="preserve">CUST0652</t>
  </si>
  <si>
    <t xml:space="preserve">TXN001054</t>
  </si>
  <si>
    <t xml:space="preserve">TXN001055</t>
  </si>
  <si>
    <t xml:space="preserve">TXN001056</t>
  </si>
  <si>
    <t xml:space="preserve">TXN001057</t>
  </si>
  <si>
    <t xml:space="preserve">TXN001058</t>
  </si>
  <si>
    <t xml:space="preserve">TXN001059</t>
  </si>
  <si>
    <t xml:space="preserve">CUST0475</t>
  </si>
  <si>
    <t xml:space="preserve">TXN001060</t>
  </si>
  <si>
    <t xml:space="preserve">TXN001061</t>
  </si>
  <si>
    <t xml:space="preserve">TXN001062</t>
  </si>
  <si>
    <t xml:space="preserve">TXN001063</t>
  </si>
  <si>
    <t xml:space="preserve">TXN001064</t>
  </si>
  <si>
    <t xml:space="preserve">TXN001065</t>
  </si>
  <si>
    <t xml:space="preserve">TXN001066</t>
  </si>
  <si>
    <t xml:space="preserve">CUST0301</t>
  </si>
  <si>
    <t xml:space="preserve">TXN001067</t>
  </si>
  <si>
    <t xml:space="preserve">TXN001068</t>
  </si>
  <si>
    <t xml:space="preserve">TXN001069</t>
  </si>
  <si>
    <t xml:space="preserve">CUST0578</t>
  </si>
  <si>
    <t xml:space="preserve">TXN001070</t>
  </si>
  <si>
    <t xml:space="preserve">TXN001071</t>
  </si>
  <si>
    <t xml:space="preserve">TXN001072</t>
  </si>
  <si>
    <t xml:space="preserve">TXN001073</t>
  </si>
  <si>
    <t xml:space="preserve">TXN001074</t>
  </si>
  <si>
    <t xml:space="preserve">CUST0271</t>
  </si>
  <si>
    <t xml:space="preserve">TXN001075</t>
  </si>
  <si>
    <t xml:space="preserve">TXN001076</t>
  </si>
  <si>
    <t xml:space="preserve">CUST0187</t>
  </si>
  <si>
    <t xml:space="preserve">TXN001077</t>
  </si>
  <si>
    <t xml:space="preserve">TXN001078</t>
  </si>
  <si>
    <t xml:space="preserve">TXN001079</t>
  </si>
  <si>
    <t xml:space="preserve">LN00766</t>
  </si>
  <si>
    <t xml:space="preserve">TXN001080</t>
  </si>
  <si>
    <t xml:space="preserve">LN00752</t>
  </si>
  <si>
    <t xml:space="preserve">TXN001081</t>
  </si>
  <si>
    <t xml:space="preserve">CUST0439</t>
  </si>
  <si>
    <t xml:space="preserve">TXN001082</t>
  </si>
  <si>
    <t xml:space="preserve">TXN001083</t>
  </si>
  <si>
    <t xml:space="preserve">TXN001084</t>
  </si>
  <si>
    <t xml:space="preserve">TXN001085</t>
  </si>
  <si>
    <t xml:space="preserve">TXN001086</t>
  </si>
  <si>
    <t xml:space="preserve">TXN001087</t>
  </si>
  <si>
    <t xml:space="preserve">LN01068</t>
  </si>
  <si>
    <t xml:space="preserve">TXN001088</t>
  </si>
  <si>
    <t xml:space="preserve">CUST0565</t>
  </si>
  <si>
    <t xml:space="preserve">TXN001089</t>
  </si>
  <si>
    <t xml:space="preserve">TXN001090</t>
  </si>
  <si>
    <t xml:space="preserve">TXN001091</t>
  </si>
  <si>
    <t xml:space="preserve">TXN001092</t>
  </si>
  <si>
    <t xml:space="preserve">TXN001093</t>
  </si>
  <si>
    <t xml:space="preserve">TXN001094</t>
  </si>
  <si>
    <t xml:space="preserve">LN00767</t>
  </si>
  <si>
    <t xml:space="preserve">TXN001095</t>
  </si>
  <si>
    <t xml:space="preserve">CUST0121</t>
  </si>
  <si>
    <t xml:space="preserve">TXN001096</t>
  </si>
  <si>
    <t xml:space="preserve">CUST0575</t>
  </si>
  <si>
    <t xml:space="preserve">TXN001097</t>
  </si>
  <si>
    <t xml:space="preserve">TXN001098</t>
  </si>
  <si>
    <t xml:space="preserve">TXN001099</t>
  </si>
  <si>
    <t xml:space="preserve">TXN001100</t>
  </si>
  <si>
    <t xml:space="preserve">TXN001101</t>
  </si>
  <si>
    <t xml:space="preserve">TXN001102</t>
  </si>
  <si>
    <t xml:space="preserve">TXN001103</t>
  </si>
  <si>
    <t xml:space="preserve">TXN001104</t>
  </si>
  <si>
    <t xml:space="preserve">CUST0042</t>
  </si>
  <si>
    <t xml:space="preserve">TXN001105</t>
  </si>
  <si>
    <t xml:space="preserve">TXN001106</t>
  </si>
  <si>
    <t xml:space="preserve">TXN001107</t>
  </si>
  <si>
    <t xml:space="preserve">TXN001108</t>
  </si>
  <si>
    <t xml:space="preserve">TXN001109</t>
  </si>
  <si>
    <t xml:space="preserve">TXN001110</t>
  </si>
  <si>
    <t xml:space="preserve">TXN001111</t>
  </si>
  <si>
    <t xml:space="preserve">TXN001112</t>
  </si>
  <si>
    <t xml:space="preserve">TXN001113</t>
  </si>
  <si>
    <t xml:space="preserve">TXN001114</t>
  </si>
  <si>
    <t xml:space="preserve">LN00386</t>
  </si>
  <si>
    <t xml:space="preserve">TXN001115</t>
  </si>
  <si>
    <t xml:space="preserve">TXN001116</t>
  </si>
  <si>
    <t xml:space="preserve">CUST0134</t>
  </si>
  <si>
    <t xml:space="preserve">TXN001117</t>
  </si>
  <si>
    <t xml:space="preserve">CUST0761</t>
  </si>
  <si>
    <t xml:space="preserve">TXN001118</t>
  </si>
  <si>
    <t xml:space="preserve">TXN001119</t>
  </si>
  <si>
    <t xml:space="preserve">CUST0582</t>
  </si>
  <si>
    <t xml:space="preserve">TXN001120</t>
  </si>
  <si>
    <t xml:space="preserve">TXN001121</t>
  </si>
  <si>
    <t xml:space="preserve">CUST0521</t>
  </si>
  <si>
    <t xml:space="preserve">TXN001122</t>
  </si>
  <si>
    <t xml:space="preserve">CUST0489</t>
  </si>
  <si>
    <t xml:space="preserve">TXN001123</t>
  </si>
  <si>
    <t xml:space="preserve">TXN001124</t>
  </si>
  <si>
    <t xml:space="preserve">TXN001125</t>
  </si>
  <si>
    <t xml:space="preserve">TXN001126</t>
  </si>
  <si>
    <t xml:space="preserve">CUST0595</t>
  </si>
  <si>
    <t xml:space="preserve">TXN001127</t>
  </si>
  <si>
    <t xml:space="preserve">CUST0002</t>
  </si>
  <si>
    <t xml:space="preserve">TXN001128</t>
  </si>
  <si>
    <t xml:space="preserve">TXN001129</t>
  </si>
  <si>
    <t xml:space="preserve">TXN001130</t>
  </si>
  <si>
    <t xml:space="preserve">TXN001131</t>
  </si>
  <si>
    <t xml:space="preserve">TXN001132</t>
  </si>
  <si>
    <t xml:space="preserve">TXN001133</t>
  </si>
  <si>
    <t xml:space="preserve">TXN001134</t>
  </si>
  <si>
    <t xml:space="preserve">TXN001135</t>
  </si>
  <si>
    <t xml:space="preserve">TXN001136</t>
  </si>
  <si>
    <t xml:space="preserve">CUST0026</t>
  </si>
  <si>
    <t xml:space="preserve">TXN001137</t>
  </si>
  <si>
    <t xml:space="preserve">TXN001138</t>
  </si>
  <si>
    <t xml:space="preserve">CUST0641</t>
  </si>
  <si>
    <t xml:space="preserve">TXN001139</t>
  </si>
  <si>
    <t xml:space="preserve">CUST0591</t>
  </si>
  <si>
    <t xml:space="preserve">TXN001140</t>
  </si>
  <si>
    <t xml:space="preserve">CUST0616</t>
  </si>
  <si>
    <t xml:space="preserve">TXN001141</t>
  </si>
  <si>
    <t xml:space="preserve">TXN001142</t>
  </si>
  <si>
    <t xml:space="preserve">TXN001143</t>
  </si>
  <si>
    <t xml:space="preserve">CUST0693</t>
  </si>
  <si>
    <t xml:space="preserve">TXN001144</t>
  </si>
  <si>
    <t xml:space="preserve">CUST0437</t>
  </si>
  <si>
    <t xml:space="preserve">TXN001145</t>
  </si>
  <si>
    <t xml:space="preserve">TXN001146</t>
  </si>
  <si>
    <t xml:space="preserve">TXN001147</t>
  </si>
  <si>
    <t xml:space="preserve">TXN001148</t>
  </si>
  <si>
    <t xml:space="preserve">TXN001149</t>
  </si>
  <si>
    <t xml:space="preserve">TXN001150</t>
  </si>
  <si>
    <t xml:space="preserve">TXN001151</t>
  </si>
  <si>
    <t xml:space="preserve">TXN001152</t>
  </si>
  <si>
    <t xml:space="preserve">TXN001153</t>
  </si>
  <si>
    <t xml:space="preserve">TXN001154</t>
  </si>
  <si>
    <t xml:space="preserve">CUST0013</t>
  </si>
  <si>
    <t xml:space="preserve">TXN001155</t>
  </si>
  <si>
    <t xml:space="preserve">LN00825</t>
  </si>
  <si>
    <t xml:space="preserve">TXN001156</t>
  </si>
  <si>
    <t xml:space="preserve">CUST0120</t>
  </si>
  <si>
    <t xml:space="preserve">TXN001157</t>
  </si>
  <si>
    <t xml:space="preserve">TXN001158</t>
  </si>
  <si>
    <t xml:space="preserve">CUST0753</t>
  </si>
  <si>
    <t xml:space="preserve">TXN001159</t>
  </si>
  <si>
    <t xml:space="preserve">CUST0665</t>
  </si>
  <si>
    <t xml:space="preserve">TXN001160</t>
  </si>
  <si>
    <t xml:space="preserve">TXN001161</t>
  </si>
  <si>
    <t xml:space="preserve">TXN001162</t>
  </si>
  <si>
    <t xml:space="preserve">TXN001163</t>
  </si>
  <si>
    <t xml:space="preserve">TXN001164</t>
  </si>
  <si>
    <t xml:space="preserve">CUST0657</t>
  </si>
  <si>
    <t xml:space="preserve">TXN001165</t>
  </si>
  <si>
    <t xml:space="preserve">TXN001166</t>
  </si>
  <si>
    <t xml:space="preserve">TXN001167</t>
  </si>
  <si>
    <t xml:space="preserve">CUST0431</t>
  </si>
  <si>
    <t xml:space="preserve">TXN001168</t>
  </si>
  <si>
    <t xml:space="preserve">TXN001169</t>
  </si>
  <si>
    <t xml:space="preserve">TXN001170</t>
  </si>
  <si>
    <t xml:space="preserve">TXN001171</t>
  </si>
  <si>
    <t xml:space="preserve">TXN001172</t>
  </si>
  <si>
    <t xml:space="preserve">TXN001173</t>
  </si>
  <si>
    <t xml:space="preserve">TXN001174</t>
  </si>
  <si>
    <t xml:space="preserve">TXN001175</t>
  </si>
  <si>
    <t xml:space="preserve">TXN001176</t>
  </si>
  <si>
    <t xml:space="preserve">TXN001177</t>
  </si>
  <si>
    <t xml:space="preserve">TXN001178</t>
  </si>
  <si>
    <t xml:space="preserve">TXN001179</t>
  </si>
  <si>
    <t xml:space="preserve">TXN001180</t>
  </si>
  <si>
    <t xml:space="preserve">TXN001181</t>
  </si>
  <si>
    <t xml:space="preserve">CUST0404</t>
  </si>
  <si>
    <t xml:space="preserve">TXN001182</t>
  </si>
  <si>
    <t xml:space="preserve">CUST0190</t>
  </si>
  <si>
    <t xml:space="preserve">TXN001183</t>
  </si>
  <si>
    <t xml:space="preserve">CUST0593</t>
  </si>
  <si>
    <t xml:space="preserve">LN00476</t>
  </si>
  <si>
    <t xml:space="preserve">TXN001184</t>
  </si>
  <si>
    <t xml:space="preserve">TXN001185</t>
  </si>
  <si>
    <t xml:space="preserve">TXN001186</t>
  </si>
  <si>
    <t xml:space="preserve">TXN001187</t>
  </si>
  <si>
    <t xml:space="preserve">CUST0419</t>
  </si>
  <si>
    <t xml:space="preserve">LN00813</t>
  </si>
  <si>
    <t xml:space="preserve">TXN001188</t>
  </si>
  <si>
    <t xml:space="preserve">LN00595</t>
  </si>
  <si>
    <t xml:space="preserve">TXN001189</t>
  </si>
  <si>
    <t xml:space="preserve">TXN001190</t>
  </si>
  <si>
    <t xml:space="preserve">TXN001191</t>
  </si>
  <si>
    <t xml:space="preserve">TXN001192</t>
  </si>
  <si>
    <t xml:space="preserve">CUST0126</t>
  </si>
  <si>
    <t xml:space="preserve">TXN001193</t>
  </si>
  <si>
    <t xml:space="preserve">TXN001194</t>
  </si>
  <si>
    <t xml:space="preserve">CUST0615</t>
  </si>
  <si>
    <t xml:space="preserve">TXN001195</t>
  </si>
  <si>
    <t xml:space="preserve">TXN001196</t>
  </si>
  <si>
    <t xml:space="preserve">TXN001197</t>
  </si>
  <si>
    <t xml:space="preserve">TXN001198</t>
  </si>
  <si>
    <t xml:space="preserve">TXN001199</t>
  </si>
  <si>
    <t xml:space="preserve">TXN001200</t>
  </si>
  <si>
    <t xml:space="preserve">CUST0258</t>
  </si>
  <si>
    <t xml:space="preserve">TXN001201</t>
  </si>
  <si>
    <t xml:space="preserve">TXN001202</t>
  </si>
  <si>
    <t xml:space="preserve">CUST0733</t>
  </si>
  <si>
    <t xml:space="preserve">TXN001203</t>
  </si>
  <si>
    <t xml:space="preserve">TXN001204</t>
  </si>
  <si>
    <t xml:space="preserve">TXN001205</t>
  </si>
  <si>
    <t xml:space="preserve">TXN001206</t>
  </si>
  <si>
    <t xml:space="preserve">CUST0268</t>
  </si>
  <si>
    <t xml:space="preserve">TXN001207</t>
  </si>
  <si>
    <t xml:space="preserve">TXN001208</t>
  </si>
  <si>
    <t xml:space="preserve">TXN001209</t>
  </si>
  <si>
    <t xml:space="preserve">TXN001210</t>
  </si>
  <si>
    <t xml:space="preserve">TXN001211</t>
  </si>
  <si>
    <t xml:space="preserve">LN01004</t>
  </si>
  <si>
    <t xml:space="preserve">TXN001212</t>
  </si>
  <si>
    <t xml:space="preserve">TXN001213</t>
  </si>
  <si>
    <t xml:space="preserve">TXN001214</t>
  </si>
  <si>
    <t xml:space="preserve">CUST0621</t>
  </si>
  <si>
    <t xml:space="preserve">TXN001215</t>
  </si>
  <si>
    <t xml:space="preserve">TXN001216</t>
  </si>
  <si>
    <t xml:space="preserve">TXN001217</t>
  </si>
  <si>
    <t xml:space="preserve">TXN001218</t>
  </si>
  <si>
    <t xml:space="preserve">LN00382</t>
  </si>
  <si>
    <t xml:space="preserve">TXN001219</t>
  </si>
  <si>
    <t xml:space="preserve">CUST0450</t>
  </si>
  <si>
    <t xml:space="preserve">TXN001220</t>
  </si>
  <si>
    <t xml:space="preserve">TXN001221</t>
  </si>
  <si>
    <t xml:space="preserve">TXN001222</t>
  </si>
  <si>
    <t xml:space="preserve">TXN001223</t>
  </si>
  <si>
    <t xml:space="preserve">TXN001224</t>
  </si>
  <si>
    <t xml:space="preserve">TXN001225</t>
  </si>
  <si>
    <t xml:space="preserve">CUST0513</t>
  </si>
  <si>
    <t xml:space="preserve">TXN001226</t>
  </si>
  <si>
    <t xml:space="preserve">CUST0569</t>
  </si>
  <si>
    <t xml:space="preserve">TXN001227</t>
  </si>
  <si>
    <t xml:space="preserve">TXN001228</t>
  </si>
  <si>
    <t xml:space="preserve">LN00690</t>
  </si>
  <si>
    <t xml:space="preserve">TXN001229</t>
  </si>
  <si>
    <t xml:space="preserve">TXN001230</t>
  </si>
  <si>
    <t xml:space="preserve">LN01064</t>
  </si>
  <si>
    <t xml:space="preserve">TXN001231</t>
  </si>
  <si>
    <t xml:space="preserve">TXN001232</t>
  </si>
  <si>
    <t xml:space="preserve">TXN001233</t>
  </si>
  <si>
    <t xml:space="preserve">CUST0153</t>
  </si>
  <si>
    <t xml:space="preserve">TXN001234</t>
  </si>
  <si>
    <t xml:space="preserve">LN00736</t>
  </si>
  <si>
    <t xml:space="preserve">TXN001235</t>
  </si>
  <si>
    <t xml:space="preserve">TXN001236</t>
  </si>
  <si>
    <t xml:space="preserve">TXN001237</t>
  </si>
  <si>
    <t xml:space="preserve">CUST0318</t>
  </si>
  <si>
    <t xml:space="preserve">TXN001238</t>
  </si>
  <si>
    <t xml:space="preserve">TXN001239</t>
  </si>
  <si>
    <t xml:space="preserve">CUST0589</t>
  </si>
  <si>
    <t xml:space="preserve">TXN001240</t>
  </si>
  <si>
    <t xml:space="preserve">CUST0108</t>
  </si>
  <si>
    <t xml:space="preserve">TXN001241</t>
  </si>
  <si>
    <t xml:space="preserve">TXN001242</t>
  </si>
  <si>
    <t xml:space="preserve">TXN001243</t>
  </si>
  <si>
    <t xml:space="preserve">TXN001244</t>
  </si>
  <si>
    <t xml:space="preserve">TXN001245</t>
  </si>
  <si>
    <t xml:space="preserve">TXN001246</t>
  </si>
  <si>
    <t xml:space="preserve">TXN001247</t>
  </si>
  <si>
    <t xml:space="preserve">LN01000</t>
  </si>
  <si>
    <t xml:space="preserve">TXN001248</t>
  </si>
  <si>
    <t xml:space="preserve">TXN001249</t>
  </si>
  <si>
    <t xml:space="preserve">TXN001250</t>
  </si>
  <si>
    <t xml:space="preserve">TXN001251</t>
  </si>
  <si>
    <t xml:space="preserve">TXN001252</t>
  </si>
  <si>
    <t xml:space="preserve">TXN001253</t>
  </si>
  <si>
    <t xml:space="preserve">TXN001254</t>
  </si>
  <si>
    <t xml:space="preserve">TXN001255</t>
  </si>
  <si>
    <t xml:space="preserve">TXN001256</t>
  </si>
  <si>
    <t xml:space="preserve">TXN001257</t>
  </si>
  <si>
    <t xml:space="preserve">TXN001258</t>
  </si>
  <si>
    <t xml:space="preserve">TXN001259</t>
  </si>
  <si>
    <t xml:space="preserve">CUST0742</t>
  </si>
  <si>
    <t xml:space="preserve">TXN001260</t>
  </si>
  <si>
    <t xml:space="preserve">TXN001261</t>
  </si>
  <si>
    <t xml:space="preserve">TXN001262</t>
  </si>
  <si>
    <t xml:space="preserve">LN00843</t>
  </si>
  <si>
    <t xml:space="preserve">TXN001263</t>
  </si>
  <si>
    <t xml:space="preserve">TXN001264</t>
  </si>
  <si>
    <t xml:space="preserve">CUST0244</t>
  </si>
  <si>
    <t xml:space="preserve">TXN001265</t>
  </si>
  <si>
    <t xml:space="preserve">TXN001266</t>
  </si>
  <si>
    <t xml:space="preserve">CUST0129</t>
  </si>
  <si>
    <t xml:space="preserve">TXN001267</t>
  </si>
  <si>
    <t xml:space="preserve">CUST0765</t>
  </si>
  <si>
    <t xml:space="preserve">TXN001268</t>
  </si>
  <si>
    <t xml:space="preserve">TXN001269</t>
  </si>
  <si>
    <t xml:space="preserve">LN00114</t>
  </si>
  <si>
    <t xml:space="preserve">TXN001270</t>
  </si>
  <si>
    <t xml:space="preserve">TXN001271</t>
  </si>
  <si>
    <t xml:space="preserve">CUST0409</t>
  </si>
  <si>
    <t xml:space="preserve">TXN001272</t>
  </si>
  <si>
    <t xml:space="preserve">TXN001273</t>
  </si>
  <si>
    <t xml:space="preserve">LN00346</t>
  </si>
  <si>
    <t xml:space="preserve">TXN001274</t>
  </si>
  <si>
    <t xml:space="preserve">TXN001275</t>
  </si>
  <si>
    <t xml:space="preserve">TXN001276</t>
  </si>
  <si>
    <t xml:space="preserve">TXN001277</t>
  </si>
  <si>
    <t xml:space="preserve">TXN001278</t>
  </si>
  <si>
    <t xml:space="preserve">LN00472</t>
  </si>
  <si>
    <t xml:space="preserve">TXN001279</t>
  </si>
  <si>
    <t xml:space="preserve">TXN001280</t>
  </si>
  <si>
    <t xml:space="preserve">TXN001281</t>
  </si>
  <si>
    <t xml:space="preserve">TXN001282</t>
  </si>
  <si>
    <t xml:space="preserve">TXN001283</t>
  </si>
  <si>
    <t xml:space="preserve">TXN001284</t>
  </si>
  <si>
    <t xml:space="preserve">TXN001285</t>
  </si>
  <si>
    <t xml:space="preserve">TXN001286</t>
  </si>
  <si>
    <t xml:space="preserve">TXN001287</t>
  </si>
  <si>
    <t xml:space="preserve">CUST0133</t>
  </si>
  <si>
    <t xml:space="preserve">TXN001288</t>
  </si>
  <si>
    <t xml:space="preserve">CUST0572</t>
  </si>
  <si>
    <t xml:space="preserve">TXN001289</t>
  </si>
  <si>
    <t xml:space="preserve">TXN001290</t>
  </si>
  <si>
    <t xml:space="preserve">TXN001291</t>
  </si>
  <si>
    <t xml:space="preserve">TXN001292</t>
  </si>
  <si>
    <t xml:space="preserve">TXN001293</t>
  </si>
  <si>
    <t xml:space="preserve">CUST0018</t>
  </si>
  <si>
    <t xml:space="preserve">TXN001294</t>
  </si>
  <si>
    <t xml:space="preserve">TXN001295</t>
  </si>
  <si>
    <t xml:space="preserve">TXN001296</t>
  </si>
  <si>
    <t xml:space="preserve">TXN001297</t>
  </si>
  <si>
    <t xml:space="preserve">CUST0345</t>
  </si>
  <si>
    <t xml:space="preserve">TXN001298</t>
  </si>
  <si>
    <t xml:space="preserve">LN00178</t>
  </si>
  <si>
    <t xml:space="preserve">TXN001299</t>
  </si>
  <si>
    <t xml:space="preserve">CUST0603</t>
  </si>
  <si>
    <t xml:space="preserve">TXN001300</t>
  </si>
  <si>
    <t xml:space="preserve">TXN001301</t>
  </si>
  <si>
    <t xml:space="preserve">TXN001302</t>
  </si>
  <si>
    <t xml:space="preserve">CUST0131</t>
  </si>
  <si>
    <t xml:space="preserve">TXN001303</t>
  </si>
  <si>
    <t xml:space="preserve">CUST0432</t>
  </si>
  <si>
    <t xml:space="preserve">TXN001304</t>
  </si>
  <si>
    <t xml:space="preserve">TXN001305</t>
  </si>
  <si>
    <t xml:space="preserve">TXN001306</t>
  </si>
  <si>
    <t xml:space="preserve">LN00418</t>
  </si>
  <si>
    <t xml:space="preserve">TXN001307</t>
  </si>
  <si>
    <t xml:space="preserve">CUST0557</t>
  </si>
  <si>
    <t xml:space="preserve">TXN001308</t>
  </si>
  <si>
    <t xml:space="preserve">TXN001309</t>
  </si>
  <si>
    <t xml:space="preserve">TXN001310</t>
  </si>
  <si>
    <t xml:space="preserve">TXN001311</t>
  </si>
  <si>
    <t xml:space="preserve">TXN001312</t>
  </si>
  <si>
    <t xml:space="preserve">TXN001313</t>
  </si>
  <si>
    <t xml:space="preserve">CUST0465</t>
  </si>
  <si>
    <t xml:space="preserve">TXN001314</t>
  </si>
  <si>
    <t xml:space="preserve">TXN001315</t>
  </si>
  <si>
    <t xml:space="preserve">TXN001316</t>
  </si>
  <si>
    <t xml:space="preserve">TXN001317</t>
  </si>
  <si>
    <t xml:space="preserve">TXN001318</t>
  </si>
  <si>
    <t xml:space="preserve">TXN001319</t>
  </si>
  <si>
    <t xml:space="preserve">CUST0646</t>
  </si>
  <si>
    <t xml:space="preserve">LN00283</t>
  </si>
  <si>
    <t xml:space="preserve">TXN001320</t>
  </si>
  <si>
    <t xml:space="preserve">CUST0697</t>
  </si>
  <si>
    <t xml:space="preserve">TXN001321</t>
  </si>
  <si>
    <t xml:space="preserve">TXN001322</t>
  </si>
  <si>
    <t xml:space="preserve">CUST0307</t>
  </si>
  <si>
    <t xml:space="preserve">TXN001323</t>
  </si>
  <si>
    <t xml:space="preserve">TXN001324</t>
  </si>
  <si>
    <t xml:space="preserve">CUST0411</t>
  </si>
  <si>
    <t xml:space="preserve">TXN001325</t>
  </si>
  <si>
    <t xml:space="preserve">TXN001326</t>
  </si>
  <si>
    <t xml:space="preserve">TXN001327</t>
  </si>
  <si>
    <t xml:space="preserve">TXN001328</t>
  </si>
  <si>
    <t xml:space="preserve">TXN001329</t>
  </si>
  <si>
    <t xml:space="preserve">TXN001330</t>
  </si>
  <si>
    <t xml:space="preserve">CUST0428</t>
  </si>
  <si>
    <t xml:space="preserve">LN00554</t>
  </si>
  <si>
    <t xml:space="preserve">TXN001331</t>
  </si>
  <si>
    <t xml:space="preserve">TXN001332</t>
  </si>
  <si>
    <t xml:space="preserve">TXN001333</t>
  </si>
  <si>
    <t xml:space="preserve">TXN001334</t>
  </si>
  <si>
    <t xml:space="preserve">TXN001335</t>
  </si>
  <si>
    <t xml:space="preserve">CUST0080</t>
  </si>
  <si>
    <t xml:space="preserve">TXN001336</t>
  </si>
  <si>
    <t xml:space="preserve">TXN001337</t>
  </si>
  <si>
    <t xml:space="preserve">TXN001338</t>
  </si>
  <si>
    <t xml:space="preserve">CUST0240</t>
  </si>
  <si>
    <t xml:space="preserve">LN00799</t>
  </si>
  <si>
    <t xml:space="preserve">TXN001339</t>
  </si>
  <si>
    <t xml:space="preserve">TXN001340</t>
  </si>
  <si>
    <t xml:space="preserve">CUST0780</t>
  </si>
  <si>
    <t xml:space="preserve">TXN001341</t>
  </si>
  <si>
    <t xml:space="preserve">TXN001342</t>
  </si>
  <si>
    <t xml:space="preserve">CUST0769</t>
  </si>
  <si>
    <t xml:space="preserve">TXN001343</t>
  </si>
  <si>
    <t xml:space="preserve">CUST0260</t>
  </si>
  <si>
    <t xml:space="preserve">TXN001344</t>
  </si>
  <si>
    <t xml:space="preserve">TXN001345</t>
  </si>
  <si>
    <t xml:space="preserve">TXN001346</t>
  </si>
  <si>
    <t xml:space="preserve">TXN001347</t>
  </si>
  <si>
    <t xml:space="preserve">CUST0764</t>
  </si>
  <si>
    <t xml:space="preserve">TXN001348</t>
  </si>
  <si>
    <t xml:space="preserve">TXN001349</t>
  </si>
  <si>
    <t xml:space="preserve">TXN001350</t>
  </si>
  <si>
    <t xml:space="preserve">TXN001351</t>
  </si>
  <si>
    <t xml:space="preserve">CUST0523</t>
  </si>
  <si>
    <t xml:space="preserve">TXN001352</t>
  </si>
  <si>
    <t xml:space="preserve">TXN001353</t>
  </si>
  <si>
    <t xml:space="preserve">TXN001354</t>
  </si>
  <si>
    <t xml:space="preserve">TXN001355</t>
  </si>
  <si>
    <t xml:space="preserve">CUST0084</t>
  </si>
  <si>
    <t xml:space="preserve">TXN001356</t>
  </si>
  <si>
    <t xml:space="preserve">TXN001357</t>
  </si>
  <si>
    <t xml:space="preserve">TXN001358</t>
  </si>
  <si>
    <t xml:space="preserve">TXN001359</t>
  </si>
  <si>
    <t xml:space="preserve">TXN001360</t>
  </si>
  <si>
    <t xml:space="preserve">TXN001361</t>
  </si>
  <si>
    <t xml:space="preserve">TXN001362</t>
  </si>
  <si>
    <t xml:space="preserve">TXN001363</t>
  </si>
  <si>
    <t xml:space="preserve">TXN001364</t>
  </si>
  <si>
    <t xml:space="preserve">TXN001365</t>
  </si>
  <si>
    <t xml:space="preserve">TXN001366</t>
  </si>
  <si>
    <t xml:space="preserve">LN01070</t>
  </si>
  <si>
    <t xml:space="preserve">TXN001367</t>
  </si>
  <si>
    <t xml:space="preserve">TXN001368</t>
  </si>
  <si>
    <t xml:space="preserve">CUST0771</t>
  </si>
  <si>
    <t xml:space="preserve">TXN001369</t>
  </si>
  <si>
    <t xml:space="preserve">TXN001370</t>
  </si>
  <si>
    <t xml:space="preserve">TXN001371</t>
  </si>
  <si>
    <t xml:space="preserve">TXN001372</t>
  </si>
  <si>
    <t xml:space="preserve">TXN001373</t>
  </si>
  <si>
    <t xml:space="preserve">LN00237</t>
  </si>
  <si>
    <t xml:space="preserve">TXN001374</t>
  </si>
  <si>
    <t xml:space="preserve">TXN001375</t>
  </si>
  <si>
    <t xml:space="preserve">TXN001376</t>
  </si>
  <si>
    <t xml:space="preserve">CUST0727</t>
  </si>
  <si>
    <t xml:space="preserve">TXN001377</t>
  </si>
  <si>
    <t xml:space="preserve">TXN001378</t>
  </si>
  <si>
    <t xml:space="preserve">TXN001379</t>
  </si>
  <si>
    <t xml:space="preserve">TXN001380</t>
  </si>
  <si>
    <t xml:space="preserve">CUST0144</t>
  </si>
  <si>
    <t xml:space="preserve">LN00160</t>
  </si>
  <si>
    <t xml:space="preserve">TXN001381</t>
  </si>
  <si>
    <t xml:space="preserve">TXN001382</t>
  </si>
  <si>
    <t xml:space="preserve">LN00555</t>
  </si>
  <si>
    <t xml:space="preserve">TXN001383</t>
  </si>
  <si>
    <t xml:space="preserve">TXN001384</t>
  </si>
  <si>
    <t xml:space="preserve">TXN001385</t>
  </si>
  <si>
    <t xml:space="preserve">TXN001386</t>
  </si>
  <si>
    <t xml:space="preserve">LN00541</t>
  </si>
  <si>
    <t xml:space="preserve">TXN001387</t>
  </si>
  <si>
    <t xml:space="preserve">TXN001388</t>
  </si>
  <si>
    <t xml:space="preserve">TXN001389</t>
  </si>
  <si>
    <t xml:space="preserve">TXN001390</t>
  </si>
  <si>
    <t xml:space="preserve">CUST0612</t>
  </si>
  <si>
    <t xml:space="preserve">TXN001391</t>
  </si>
  <si>
    <t xml:space="preserve">TXN001392</t>
  </si>
  <si>
    <t xml:space="preserve">TXN001393</t>
  </si>
  <si>
    <t xml:space="preserve">TXN001394</t>
  </si>
  <si>
    <t xml:space="preserve">TXN001395</t>
  </si>
  <si>
    <t xml:space="preserve">LN00818</t>
  </si>
  <si>
    <t xml:space="preserve">TXN001396</t>
  </si>
  <si>
    <t xml:space="preserve">TXN001397</t>
  </si>
  <si>
    <t xml:space="preserve">CUST0112</t>
  </si>
  <si>
    <t xml:space="preserve">TXN001398</t>
  </si>
  <si>
    <t xml:space="preserve">CUST0287</t>
  </si>
  <si>
    <t xml:space="preserve">TXN001399</t>
  </si>
  <si>
    <t xml:space="preserve">TXN001400</t>
  </si>
  <si>
    <t xml:space="preserve">TXN001401</t>
  </si>
  <si>
    <t xml:space="preserve">TXN001402</t>
  </si>
  <si>
    <t xml:space="preserve">TXN001403</t>
  </si>
  <si>
    <t xml:space="preserve">TXN001404</t>
  </si>
  <si>
    <t xml:space="preserve">TXN001405</t>
  </si>
  <si>
    <t xml:space="preserve">TXN001406</t>
  </si>
  <si>
    <t xml:space="preserve">TXN001407</t>
  </si>
  <si>
    <t xml:space="preserve">TXN001408</t>
  </si>
  <si>
    <t xml:space="preserve">CUST0123</t>
  </si>
  <si>
    <t xml:space="preserve">TXN001409</t>
  </si>
  <si>
    <t xml:space="preserve">LN00889</t>
  </si>
  <si>
    <t xml:space="preserve">TXN001410</t>
  </si>
  <si>
    <t xml:space="preserve">TXN001411</t>
  </si>
  <si>
    <t xml:space="preserve">TXN001412</t>
  </si>
  <si>
    <t xml:space="preserve">TXN001413</t>
  </si>
  <si>
    <t xml:space="preserve">TXN001414</t>
  </si>
  <si>
    <t xml:space="preserve">CUST0535</t>
  </si>
  <si>
    <t xml:space="preserve">TXN001415</t>
  </si>
  <si>
    <t xml:space="preserve">TXN001416</t>
  </si>
  <si>
    <t xml:space="preserve">TXN001417</t>
  </si>
  <si>
    <t xml:space="preserve">TXN001418</t>
  </si>
  <si>
    <t xml:space="preserve">TXN001419</t>
  </si>
  <si>
    <t xml:space="preserve">TXN001420</t>
  </si>
  <si>
    <t xml:space="preserve">LN00938</t>
  </si>
  <si>
    <t xml:space="preserve">TXN001421</t>
  </si>
  <si>
    <t xml:space="preserve">TXN001422</t>
  </si>
  <si>
    <t xml:space="preserve">CUST0096</t>
  </si>
  <si>
    <t xml:space="preserve">TXN001423</t>
  </si>
  <si>
    <t xml:space="preserve">TXN001424</t>
  </si>
  <si>
    <t xml:space="preserve">TXN001425</t>
  </si>
  <si>
    <t xml:space="preserve">TXN001426</t>
  </si>
  <si>
    <t xml:space="preserve">TXN001427</t>
  </si>
  <si>
    <t xml:space="preserve">TXN001428</t>
  </si>
  <si>
    <t xml:space="preserve">CUST0687</t>
  </si>
  <si>
    <t xml:space="preserve">TXN001429</t>
  </si>
  <si>
    <t xml:space="preserve">TXN001430</t>
  </si>
  <si>
    <t xml:space="preserve">TXN001431</t>
  </si>
  <si>
    <t xml:space="preserve">TXN001432</t>
  </si>
  <si>
    <t xml:space="preserve">CUST0600</t>
  </si>
  <si>
    <t xml:space="preserve">TXN001433</t>
  </si>
  <si>
    <t xml:space="preserve">TXN001434</t>
  </si>
  <si>
    <t xml:space="preserve">LN01099</t>
  </si>
  <si>
    <t xml:space="preserve">TXN001435</t>
  </si>
  <si>
    <t xml:space="preserve">CUST0706</t>
  </si>
  <si>
    <t xml:space="preserve">TXN001436</t>
  </si>
  <si>
    <t xml:space="preserve">TXN001437</t>
  </si>
  <si>
    <t xml:space="preserve">TXN001438</t>
  </si>
  <si>
    <t xml:space="preserve">TXN001439</t>
  </si>
  <si>
    <t xml:space="preserve">TXN001440</t>
  </si>
  <si>
    <t xml:space="preserve">CUST0156</t>
  </si>
  <si>
    <t xml:space="preserve">LN00913</t>
  </si>
  <si>
    <t xml:space="preserve">TXN001441</t>
  </si>
  <si>
    <t xml:space="preserve">TXN001442</t>
  </si>
  <si>
    <t xml:space="preserve">TXN001443</t>
  </si>
  <si>
    <t xml:space="preserve">TXN001444</t>
  </si>
  <si>
    <t xml:space="preserve">TXN001445</t>
  </si>
  <si>
    <t xml:space="preserve">TXN001446</t>
  </si>
  <si>
    <t xml:space="preserve">TXN001447</t>
  </si>
  <si>
    <t xml:space="preserve">CUST0680</t>
  </si>
  <si>
    <t xml:space="preserve">TXN001448</t>
  </si>
  <si>
    <t xml:space="preserve">TXN001449</t>
  </si>
  <si>
    <t xml:space="preserve">TXN001450</t>
  </si>
  <si>
    <t xml:space="preserve">TXN001451</t>
  </si>
  <si>
    <t xml:space="preserve">TXN001452</t>
  </si>
  <si>
    <t xml:space="preserve">TXN001453</t>
  </si>
  <si>
    <t xml:space="preserve">TXN001454</t>
  </si>
  <si>
    <t xml:space="preserve">TXN001455</t>
  </si>
  <si>
    <t xml:space="preserve">TXN001456</t>
  </si>
  <si>
    <t xml:space="preserve">LN01034</t>
  </si>
  <si>
    <t xml:space="preserve">TXN001457</t>
  </si>
  <si>
    <t xml:space="preserve">TXN001458</t>
  </si>
  <si>
    <t xml:space="preserve">LN00553</t>
  </si>
  <si>
    <t xml:space="preserve">TXN001459</t>
  </si>
  <si>
    <t xml:space="preserve">LN00295</t>
  </si>
  <si>
    <t xml:space="preserve">TXN001460</t>
  </si>
  <si>
    <t xml:space="preserve">TXN001461</t>
  </si>
  <si>
    <t xml:space="preserve">TXN001462</t>
  </si>
  <si>
    <t xml:space="preserve">TXN001463</t>
  </si>
  <si>
    <t xml:space="preserve">CUST0342</t>
  </si>
  <si>
    <t xml:space="preserve">TXN001464</t>
  </si>
  <si>
    <t xml:space="preserve">TXN001465</t>
  </si>
  <si>
    <t xml:space="preserve">CUST0334</t>
  </si>
  <si>
    <t xml:space="preserve">TXN001466</t>
  </si>
  <si>
    <t xml:space="preserve">LN00126</t>
  </si>
  <si>
    <t xml:space="preserve">TXN001467</t>
  </si>
  <si>
    <t xml:space="preserve">TXN001468</t>
  </si>
  <si>
    <t xml:space="preserve">TXN001469</t>
  </si>
  <si>
    <t xml:space="preserve">TXN001470</t>
  </si>
  <si>
    <t xml:space="preserve">TXN001471</t>
  </si>
  <si>
    <t xml:space="preserve">CUST0517</t>
  </si>
  <si>
    <t xml:space="preserve">TXN001472</t>
  </si>
  <si>
    <t xml:space="preserve">LN00003</t>
  </si>
  <si>
    <t xml:space="preserve">TXN001473</t>
  </si>
  <si>
    <t xml:space="preserve">LN00413</t>
  </si>
  <si>
    <t xml:space="preserve">TXN001474</t>
  </si>
  <si>
    <t xml:space="preserve">TXN001475</t>
  </si>
  <si>
    <t xml:space="preserve">TXN001476</t>
  </si>
  <si>
    <t xml:space="preserve">TXN001477</t>
  </si>
  <si>
    <t xml:space="preserve">TXN001478</t>
  </si>
  <si>
    <t xml:space="preserve">TXN001479</t>
  </si>
  <si>
    <t xml:space="preserve">TXN001480</t>
  </si>
  <si>
    <t xml:space="preserve">TXN001481</t>
  </si>
  <si>
    <t xml:space="preserve">TXN001482</t>
  </si>
  <si>
    <t xml:space="preserve">TXN001483</t>
  </si>
  <si>
    <t xml:space="preserve">TXN001484</t>
  </si>
  <si>
    <t xml:space="preserve">TXN001485</t>
  </si>
  <si>
    <t xml:space="preserve">TXN001486</t>
  </si>
  <si>
    <t xml:space="preserve">CUST0367</t>
  </si>
  <si>
    <t xml:space="preserve">TXN001487</t>
  </si>
  <si>
    <t xml:space="preserve">TXN001488</t>
  </si>
  <si>
    <t xml:space="preserve">TXN001489</t>
  </si>
  <si>
    <t xml:space="preserve">TXN001490</t>
  </si>
  <si>
    <t xml:space="preserve">TXN001491</t>
  </si>
  <si>
    <t xml:space="preserve">TXN001492</t>
  </si>
  <si>
    <t xml:space="preserve">TXN001493</t>
  </si>
  <si>
    <t xml:space="preserve">TXN001494</t>
  </si>
  <si>
    <t xml:space="preserve">TXN001495</t>
  </si>
  <si>
    <t xml:space="preserve">TXN001496</t>
  </si>
  <si>
    <t xml:space="preserve">TXN001497</t>
  </si>
  <si>
    <t xml:space="preserve">TXN001498</t>
  </si>
  <si>
    <t xml:space="preserve">CUST0050</t>
  </si>
  <si>
    <t xml:space="preserve">TXN001499</t>
  </si>
  <si>
    <t xml:space="preserve">TXN001500</t>
  </si>
  <si>
    <t xml:space="preserve">TXN001501</t>
  </si>
  <si>
    <t xml:space="preserve">TXN001502</t>
  </si>
  <si>
    <t xml:space="preserve">CUST0469</t>
  </si>
  <si>
    <t xml:space="preserve">TXN001503</t>
  </si>
  <si>
    <t xml:space="preserve">LN00784</t>
  </si>
  <si>
    <t xml:space="preserve">TXN001504</t>
  </si>
  <si>
    <t xml:space="preserve">TXN001505</t>
  </si>
  <si>
    <t xml:space="preserve">TXN001506</t>
  </si>
  <si>
    <t xml:space="preserve">TXN001507</t>
  </si>
  <si>
    <t xml:space="preserve">LN00996</t>
  </si>
  <si>
    <t xml:space="preserve">TXN001508</t>
  </si>
  <si>
    <t xml:space="preserve">CUST0008</t>
  </si>
  <si>
    <t xml:space="preserve">LN00363</t>
  </si>
  <si>
    <t xml:space="preserve">TXN001509</t>
  </si>
  <si>
    <t xml:space="preserve">TXN001510</t>
  </si>
  <si>
    <t xml:space="preserve">TXN001511</t>
  </si>
  <si>
    <t xml:space="preserve">TXN001512</t>
  </si>
  <si>
    <t xml:space="preserve">TXN001513</t>
  </si>
  <si>
    <t xml:space="preserve">TXN001514</t>
  </si>
  <si>
    <t xml:space="preserve">TXN001515</t>
  </si>
  <si>
    <t xml:space="preserve">TXN001516</t>
  </si>
  <si>
    <t xml:space="preserve">CUST0445</t>
  </si>
  <si>
    <t xml:space="preserve">LN00756</t>
  </si>
  <si>
    <t xml:space="preserve">TXN001517</t>
  </si>
  <si>
    <t xml:space="preserve">TXN001518</t>
  </si>
  <si>
    <t xml:space="preserve">TXN001519</t>
  </si>
  <si>
    <t xml:space="preserve">TXN001520</t>
  </si>
  <si>
    <t xml:space="preserve">CUST0378</t>
  </si>
  <si>
    <t xml:space="preserve">TXN001521</t>
  </si>
  <si>
    <t xml:space="preserve">LN00973</t>
  </si>
  <si>
    <t xml:space="preserve">TXN001522</t>
  </si>
  <si>
    <t xml:space="preserve">TXN001523</t>
  </si>
  <si>
    <t xml:space="preserve">TXN001524</t>
  </si>
  <si>
    <t xml:space="preserve">TXN001525</t>
  </si>
  <si>
    <t xml:space="preserve">TXN001526</t>
  </si>
  <si>
    <t xml:space="preserve">TXN001527</t>
  </si>
  <si>
    <t xml:space="preserve">TXN001528</t>
  </si>
  <si>
    <t xml:space="preserve">TXN001529</t>
  </si>
  <si>
    <t xml:space="preserve">CUST0553</t>
  </si>
  <si>
    <t xml:space="preserve">TXN001530</t>
  </si>
  <si>
    <t xml:space="preserve">TXN001531</t>
  </si>
  <si>
    <t xml:space="preserve">TXN001532</t>
  </si>
  <si>
    <t xml:space="preserve">TXN001533</t>
  </si>
  <si>
    <t xml:space="preserve">TXN001534</t>
  </si>
  <si>
    <t xml:space="preserve">CUST0223</t>
  </si>
  <si>
    <t xml:space="preserve">TXN001535</t>
  </si>
  <si>
    <t xml:space="preserve">TXN001536</t>
  </si>
  <si>
    <t xml:space="preserve">TXN001537</t>
  </si>
  <si>
    <t xml:space="preserve">TXN001538</t>
  </si>
  <si>
    <t xml:space="preserve">TXN001539</t>
  </si>
  <si>
    <t xml:space="preserve">TXN001540</t>
  </si>
  <si>
    <t xml:space="preserve">TXN001541</t>
  </si>
  <si>
    <t xml:space="preserve">TXN001542</t>
  </si>
  <si>
    <t xml:space="preserve">TXN001543</t>
  </si>
  <si>
    <t xml:space="preserve">CUST0628</t>
  </si>
  <si>
    <t xml:space="preserve">TXN001544</t>
  </si>
  <si>
    <t xml:space="preserve">TXN001545</t>
  </si>
  <si>
    <t xml:space="preserve">CUST0512</t>
  </si>
  <si>
    <t xml:space="preserve">TXN001546</t>
  </si>
  <si>
    <t xml:space="preserve">TXN001547</t>
  </si>
  <si>
    <t xml:space="preserve">TXN001548</t>
  </si>
  <si>
    <t xml:space="preserve">CUST0206</t>
  </si>
  <si>
    <t xml:space="preserve">TXN001549</t>
  </si>
  <si>
    <t xml:space="preserve">TXN001550</t>
  </si>
  <si>
    <t xml:space="preserve">TXN001551</t>
  </si>
  <si>
    <t xml:space="preserve">TXN001552</t>
  </si>
  <si>
    <t xml:space="preserve">TXN001553</t>
  </si>
  <si>
    <t xml:space="preserve">TXN001554</t>
  </si>
  <si>
    <t xml:space="preserve">TXN001555</t>
  </si>
  <si>
    <t xml:space="preserve">TXN001556</t>
  </si>
  <si>
    <t xml:space="preserve">CUST0723</t>
  </si>
  <si>
    <t xml:space="preserve">TXN001557</t>
  </si>
  <si>
    <t xml:space="preserve">TXN001558</t>
  </si>
  <si>
    <t xml:space="preserve">TXN001559</t>
  </si>
  <si>
    <t xml:space="preserve">TXN001560</t>
  </si>
  <si>
    <t xml:space="preserve">TXN001561</t>
  </si>
  <si>
    <t xml:space="preserve">TXN001562</t>
  </si>
  <si>
    <t xml:space="preserve">TXN001563</t>
  </si>
  <si>
    <t xml:space="preserve">CUST0776</t>
  </si>
  <si>
    <t xml:space="preserve">TXN001564</t>
  </si>
  <si>
    <t xml:space="preserve">TXN001565</t>
  </si>
  <si>
    <t xml:space="preserve">TXN001566</t>
  </si>
  <si>
    <t xml:space="preserve">LN00201</t>
  </si>
  <si>
    <t xml:space="preserve">TXN001567</t>
  </si>
  <si>
    <t xml:space="preserve">TXN001568</t>
  </si>
  <si>
    <t xml:space="preserve">TXN001569</t>
  </si>
  <si>
    <t xml:space="preserve">TXN001570</t>
  </si>
  <si>
    <t xml:space="preserve">TXN001571</t>
  </si>
  <si>
    <t xml:space="preserve">TXN001572</t>
  </si>
  <si>
    <t xml:space="preserve">TXN001573</t>
  </si>
  <si>
    <t xml:space="preserve">TXN001574</t>
  </si>
  <si>
    <t xml:space="preserve">TXN001575</t>
  </si>
  <si>
    <t xml:space="preserve">LN00552</t>
  </si>
  <si>
    <t xml:space="preserve">TXN001576</t>
  </si>
  <si>
    <t xml:space="preserve">TXN001577</t>
  </si>
  <si>
    <t xml:space="preserve">LN00979</t>
  </si>
  <si>
    <t xml:space="preserve">TXN001578</t>
  </si>
  <si>
    <t xml:space="preserve">TXN001579</t>
  </si>
  <si>
    <t xml:space="preserve">TXN001580</t>
  </si>
  <si>
    <t xml:space="preserve">TXN001581</t>
  </si>
  <si>
    <t xml:space="preserve">TXN001582</t>
  </si>
  <si>
    <t xml:space="preserve">TXN001583</t>
  </si>
  <si>
    <t xml:space="preserve">TXN001584</t>
  </si>
  <si>
    <t xml:space="preserve">TXN001585</t>
  </si>
  <si>
    <t xml:space="preserve">CUST0651</t>
  </si>
  <si>
    <t xml:space="preserve">LN00778</t>
  </si>
  <si>
    <t xml:space="preserve">TXN001586</t>
  </si>
  <si>
    <t xml:space="preserve">TXN001587</t>
  </si>
  <si>
    <t xml:space="preserve">TXN001588</t>
  </si>
  <si>
    <t xml:space="preserve">TXN001589</t>
  </si>
  <si>
    <t xml:space="preserve">CUST0350</t>
  </si>
  <si>
    <t xml:space="preserve">TXN001590</t>
  </si>
  <si>
    <t xml:space="preserve">TXN001591</t>
  </si>
  <si>
    <t xml:space="preserve">TXN001592</t>
  </si>
  <si>
    <t xml:space="preserve">TXN001593</t>
  </si>
  <si>
    <t xml:space="preserve">TXN001594</t>
  </si>
  <si>
    <t xml:space="preserve">TXN001595</t>
  </si>
  <si>
    <t xml:space="preserve">CUST0514</t>
  </si>
  <si>
    <t xml:space="preserve">TXN001596</t>
  </si>
  <si>
    <t xml:space="preserve">TXN001597</t>
  </si>
  <si>
    <t xml:space="preserve">TXN001598</t>
  </si>
  <si>
    <t xml:space="preserve">TXN001599</t>
  </si>
  <si>
    <t xml:space="preserve">LN00967</t>
  </si>
  <si>
    <t xml:space="preserve">TXN001600</t>
  </si>
  <si>
    <t xml:space="preserve">TXN001601</t>
  </si>
  <si>
    <t xml:space="preserve">CUST0561</t>
  </si>
  <si>
    <t xml:space="preserve">TXN001602</t>
  </si>
  <si>
    <t xml:space="preserve">CUST0282</t>
  </si>
  <si>
    <t xml:space="preserve">TXN001603</t>
  </si>
  <si>
    <t xml:space="preserve">TXN001604</t>
  </si>
  <si>
    <t xml:space="preserve">CUST0275</t>
  </si>
  <si>
    <t xml:space="preserve">TXN001605</t>
  </si>
  <si>
    <t xml:space="preserve">TXN001606</t>
  </si>
  <si>
    <t xml:space="preserve">CUST0088</t>
  </si>
  <si>
    <t xml:space="preserve">LN00356</t>
  </si>
  <si>
    <t xml:space="preserve">TXN001607</t>
  </si>
  <si>
    <t xml:space="preserve">CUST0356</t>
  </si>
  <si>
    <t xml:space="preserve">TXN001608</t>
  </si>
  <si>
    <t xml:space="preserve">TXN001609</t>
  </si>
  <si>
    <t xml:space="preserve">CUST0415</t>
  </si>
  <si>
    <t xml:space="preserve">TXN001610</t>
  </si>
  <si>
    <t xml:space="preserve">TXN001611</t>
  </si>
  <si>
    <t xml:space="preserve">CUST0082</t>
  </si>
  <si>
    <t xml:space="preserve">TXN001612</t>
  </si>
  <si>
    <t xml:space="preserve">TXN001613</t>
  </si>
  <si>
    <t xml:space="preserve">TXN001614</t>
  </si>
  <si>
    <t xml:space="preserve">TXN001615</t>
  </si>
  <si>
    <t xml:space="preserve">TXN001616</t>
  </si>
  <si>
    <t xml:space="preserve">TXN001617</t>
  </si>
  <si>
    <t xml:space="preserve">TXN001618</t>
  </si>
  <si>
    <t xml:space="preserve">TXN001619</t>
  </si>
  <si>
    <t xml:space="preserve">TXN001620</t>
  </si>
  <si>
    <t xml:space="preserve">TXN001621</t>
  </si>
  <si>
    <t xml:space="preserve">TXN001622</t>
  </si>
  <si>
    <t xml:space="preserve">CUST0786</t>
  </si>
  <si>
    <t xml:space="preserve">TXN001623</t>
  </si>
  <si>
    <t xml:space="preserve">TXN001624</t>
  </si>
  <si>
    <t xml:space="preserve">CUST0763</t>
  </si>
  <si>
    <t xml:space="preserve">TXN001625</t>
  </si>
  <si>
    <t xml:space="preserve">TXN001626</t>
  </si>
  <si>
    <t xml:space="preserve">TXN001627</t>
  </si>
  <si>
    <t xml:space="preserve">CUST0362</t>
  </si>
  <si>
    <t xml:space="preserve">TXN001628</t>
  </si>
  <si>
    <t xml:space="preserve">TXN001629</t>
  </si>
  <si>
    <t xml:space="preserve">TXN001630</t>
  </si>
  <si>
    <t xml:space="preserve">LN00884</t>
  </si>
  <si>
    <t xml:space="preserve">TXN001631</t>
  </si>
  <si>
    <t xml:space="preserve">TXN001632</t>
  </si>
  <si>
    <t xml:space="preserve">TXN001633</t>
  </si>
  <si>
    <t xml:space="preserve">TXN001634</t>
  </si>
  <si>
    <t xml:space="preserve">TXN001635</t>
  </si>
  <si>
    <t xml:space="preserve">TXN001636</t>
  </si>
  <si>
    <t xml:space="preserve">TXN001637</t>
  </si>
  <si>
    <t xml:space="preserve">TXN001638</t>
  </si>
  <si>
    <t xml:space="preserve">TXN001639</t>
  </si>
  <si>
    <t xml:space="preserve">LN00848</t>
  </si>
  <si>
    <t xml:space="preserve">TXN001640</t>
  </si>
  <si>
    <t xml:space="preserve">TXN001641</t>
  </si>
  <si>
    <t xml:space="preserve">TXN001642</t>
  </si>
  <si>
    <t xml:space="preserve">TXN001643</t>
  </si>
  <si>
    <t xml:space="preserve">TXN001644</t>
  </si>
  <si>
    <t xml:space="preserve">TXN001645</t>
  </si>
  <si>
    <t xml:space="preserve">TXN001646</t>
  </si>
  <si>
    <t xml:space="preserve">TXN001647</t>
  </si>
  <si>
    <t xml:space="preserve">LN00247</t>
  </si>
  <si>
    <t xml:space="preserve">TXN001648</t>
  </si>
  <si>
    <t xml:space="preserve">TXN001649</t>
  </si>
  <si>
    <t xml:space="preserve">TXN001650</t>
  </si>
  <si>
    <t xml:space="preserve">TXN001651</t>
  </si>
  <si>
    <t xml:space="preserve">CUST0447</t>
  </si>
  <si>
    <t xml:space="preserve">TXN001652</t>
  </si>
  <si>
    <t xml:space="preserve">TXN001653</t>
  </si>
  <si>
    <t xml:space="preserve">CUST0101</t>
  </si>
  <si>
    <t xml:space="preserve">TXN001654</t>
  </si>
  <si>
    <t xml:space="preserve">TXN001655</t>
  </si>
  <si>
    <t xml:space="preserve">TXN001656</t>
  </si>
  <si>
    <t xml:space="preserve">CUST0148</t>
  </si>
  <si>
    <t xml:space="preserve">TXN001657</t>
  </si>
  <si>
    <t xml:space="preserve">LN00414</t>
  </si>
  <si>
    <t xml:space="preserve">TXN001658</t>
  </si>
  <si>
    <t xml:space="preserve">TXN001659</t>
  </si>
  <si>
    <t xml:space="preserve">LN00852</t>
  </si>
  <si>
    <t xml:space="preserve">TXN001660</t>
  </si>
  <si>
    <t xml:space="preserve">TXN001661</t>
  </si>
  <si>
    <t xml:space="preserve">LN00737</t>
  </si>
  <si>
    <t xml:space="preserve">TXN001662</t>
  </si>
  <si>
    <t xml:space="preserve">TXN001663</t>
  </si>
  <si>
    <t xml:space="preserve">LN00480</t>
  </si>
  <si>
    <t xml:space="preserve">TXN001664</t>
  </si>
  <si>
    <t xml:space="preserve">LN00604</t>
  </si>
  <si>
    <t xml:space="preserve">TXN001665</t>
  </si>
  <si>
    <t xml:space="preserve">TXN001666</t>
  </si>
  <si>
    <t xml:space="preserve">TXN001667</t>
  </si>
  <si>
    <t xml:space="preserve">TXN001668</t>
  </si>
  <si>
    <t xml:space="preserve">LN00180</t>
  </si>
  <si>
    <t xml:space="preserve">TXN001669</t>
  </si>
  <si>
    <t xml:space="preserve">TXN001670</t>
  </si>
  <si>
    <t xml:space="preserve">CUST0647</t>
  </si>
  <si>
    <t xml:space="preserve">TXN001671</t>
  </si>
  <si>
    <t xml:space="preserve">TXN001672</t>
  </si>
  <si>
    <t xml:space="preserve">TXN001673</t>
  </si>
  <si>
    <t xml:space="preserve">TXN001674</t>
  </si>
  <si>
    <t xml:space="preserve">TXN001675</t>
  </si>
  <si>
    <t xml:space="preserve">TXN001676</t>
  </si>
  <si>
    <t xml:space="preserve">TXN001677</t>
  </si>
  <si>
    <t xml:space="preserve">TXN001678</t>
  </si>
  <si>
    <t xml:space="preserve">CUST0688</t>
  </si>
  <si>
    <t xml:space="preserve">TXN001679</t>
  </si>
  <si>
    <t xml:space="preserve">TXN001680</t>
  </si>
  <si>
    <t xml:space="preserve">TXN001681</t>
  </si>
  <si>
    <t xml:space="preserve">CUST0116</t>
  </si>
  <si>
    <t xml:space="preserve">TXN001682</t>
  </si>
  <si>
    <t xml:space="preserve">TXN001683</t>
  </si>
  <si>
    <t xml:space="preserve">TXN001684</t>
  </si>
  <si>
    <t xml:space="preserve">LN00930</t>
  </si>
  <si>
    <t xml:space="preserve">TXN001685</t>
  </si>
  <si>
    <t xml:space="preserve">LN00863</t>
  </si>
  <si>
    <t xml:space="preserve">TXN001686</t>
  </si>
  <si>
    <t xml:space="preserve">TXN001687</t>
  </si>
  <si>
    <t xml:space="preserve">TXN001688</t>
  </si>
  <si>
    <t xml:space="preserve">TXN001689</t>
  </si>
  <si>
    <t xml:space="preserve">TXN001690</t>
  </si>
  <si>
    <t xml:space="preserve">CUST0471</t>
  </si>
  <si>
    <t xml:space="preserve">TXN001691</t>
  </si>
  <si>
    <t xml:space="preserve">TXN001692</t>
  </si>
  <si>
    <t xml:space="preserve">TXN001693</t>
  </si>
  <si>
    <t xml:space="preserve">TXN001694</t>
  </si>
  <si>
    <t xml:space="preserve">TXN001695</t>
  </si>
  <si>
    <t xml:space="preserve">TXN001696</t>
  </si>
  <si>
    <t xml:space="preserve">TXN001697</t>
  </si>
  <si>
    <t xml:space="preserve">TXN001698</t>
  </si>
  <si>
    <t xml:space="preserve">TXN001699</t>
  </si>
  <si>
    <t xml:space="preserve">TXN001700</t>
  </si>
  <si>
    <t xml:space="preserve">TXN001701</t>
  </si>
  <si>
    <t xml:space="preserve">TXN001702</t>
  </si>
  <si>
    <t xml:space="preserve">TXN001703</t>
  </si>
  <si>
    <t xml:space="preserve">TXN001704</t>
  </si>
  <si>
    <t xml:space="preserve">TXN001705</t>
  </si>
  <si>
    <t xml:space="preserve">TXN001706</t>
  </si>
  <si>
    <t xml:space="preserve">TXN001707</t>
  </si>
  <si>
    <t xml:space="preserve">TXN001708</t>
  </si>
  <si>
    <t xml:space="preserve">TXN001709</t>
  </si>
  <si>
    <t xml:space="preserve">CUST0606</t>
  </si>
  <si>
    <t xml:space="preserve">TXN001710</t>
  </si>
  <si>
    <t xml:space="preserve">TXN001711</t>
  </si>
  <si>
    <t xml:space="preserve">TXN001712</t>
  </si>
  <si>
    <t xml:space="preserve">TXN001713</t>
  </si>
  <si>
    <t xml:space="preserve">TXN001714</t>
  </si>
  <si>
    <t xml:space="preserve">TXN001715</t>
  </si>
  <si>
    <t xml:space="preserve">TXN001716</t>
  </si>
  <si>
    <t xml:space="preserve">LN00380</t>
  </si>
  <si>
    <t xml:space="preserve">TXN001717</t>
  </si>
  <si>
    <t xml:space="preserve">CUST0594</t>
  </si>
  <si>
    <t xml:space="preserve">TXN001718</t>
  </si>
  <si>
    <t xml:space="preserve">TXN001719</t>
  </si>
  <si>
    <t xml:space="preserve">TXN001720</t>
  </si>
  <si>
    <t xml:space="preserve">TXN001721</t>
  </si>
  <si>
    <t xml:space="preserve">TXN001722</t>
  </si>
  <si>
    <t xml:space="preserve">LN00551</t>
  </si>
  <si>
    <t xml:space="preserve">TXN001723</t>
  </si>
  <si>
    <t xml:space="preserve">TXN001724</t>
  </si>
  <si>
    <t xml:space="preserve">TXN001725</t>
  </si>
  <si>
    <t xml:space="preserve">TXN001726</t>
  </si>
  <si>
    <t xml:space="preserve">TXN001727</t>
  </si>
  <si>
    <t xml:space="preserve">TXN001728</t>
  </si>
  <si>
    <t xml:space="preserve">LN00084</t>
  </si>
  <si>
    <t xml:space="preserve">TXN001729</t>
  </si>
  <si>
    <t xml:space="preserve">TXN001730</t>
  </si>
  <si>
    <t xml:space="preserve">LN00662</t>
  </si>
  <si>
    <t xml:space="preserve">TXN001731</t>
  </si>
  <si>
    <t xml:space="preserve">CUST0036</t>
  </si>
  <si>
    <t xml:space="preserve">TXN001732</t>
  </si>
  <si>
    <t xml:space="preserve">CUST0611</t>
  </si>
  <si>
    <t xml:space="preserve">TXN001733</t>
  </si>
  <si>
    <t xml:space="preserve">TXN001734</t>
  </si>
  <si>
    <t xml:space="preserve">TXN001735</t>
  </si>
  <si>
    <t xml:space="preserve">TXN001736</t>
  </si>
  <si>
    <t xml:space="preserve">TXN001737</t>
  </si>
  <si>
    <t xml:space="preserve">TXN001738</t>
  </si>
  <si>
    <t xml:space="preserve">TXN001739</t>
  </si>
  <si>
    <t xml:space="preserve">TXN001740</t>
  </si>
  <si>
    <t xml:space="preserve">TXN001741</t>
  </si>
  <si>
    <t xml:space="preserve">TXN001742</t>
  </si>
  <si>
    <t xml:space="preserve">TXN001743</t>
  </si>
  <si>
    <t xml:space="preserve">TXN001744</t>
  </si>
  <si>
    <t xml:space="preserve">LN00046</t>
  </si>
  <si>
    <t xml:space="preserve">TXN001745</t>
  </si>
  <si>
    <t xml:space="preserve">CUST0308</t>
  </si>
  <si>
    <t xml:space="preserve">TXN001746</t>
  </si>
  <si>
    <t xml:space="preserve">CUST0117</t>
  </si>
  <si>
    <t xml:space="preserve">TXN001747</t>
  </si>
  <si>
    <t xml:space="preserve">TXN001748</t>
  </si>
  <si>
    <t xml:space="preserve">CUST0542</t>
  </si>
  <si>
    <t xml:space="preserve">TXN001749</t>
  </si>
  <si>
    <t xml:space="preserve">TXN001750</t>
  </si>
  <si>
    <t xml:space="preserve">TXN001751</t>
  </si>
  <si>
    <t xml:space="preserve">TXN001752</t>
  </si>
  <si>
    <t xml:space="preserve">TXN001753</t>
  </si>
  <si>
    <t xml:space="preserve">TXN001754</t>
  </si>
  <si>
    <t xml:space="preserve">TXN001755</t>
  </si>
  <si>
    <t xml:space="preserve">TXN001756</t>
  </si>
  <si>
    <t xml:space="preserve">TXN001757</t>
  </si>
  <si>
    <t xml:space="preserve">CUST0245</t>
  </si>
  <si>
    <t xml:space="preserve">TXN001758</t>
  </si>
  <si>
    <t xml:space="preserve">TXN001759</t>
  </si>
  <si>
    <t xml:space="preserve">TXN001760</t>
  </si>
  <si>
    <t xml:space="preserve">TXN001761</t>
  </si>
  <si>
    <t xml:space="preserve">TXN001762</t>
  </si>
  <si>
    <t xml:space="preserve">TXN001763</t>
  </si>
  <si>
    <t xml:space="preserve">TXN001764</t>
  </si>
  <si>
    <t xml:space="preserve">TXN001765</t>
  </si>
  <si>
    <t xml:space="preserve">TXN001766</t>
  </si>
  <si>
    <t xml:space="preserve">LN00122</t>
  </si>
  <si>
    <t xml:space="preserve">TXN001767</t>
  </si>
  <si>
    <t xml:space="preserve">LN00259</t>
  </si>
  <si>
    <t xml:space="preserve">TXN001768</t>
  </si>
  <si>
    <t xml:space="preserve">TXN001769</t>
  </si>
  <si>
    <t xml:space="preserve">TXN001770</t>
  </si>
  <si>
    <t xml:space="preserve">TXN001771</t>
  </si>
  <si>
    <t xml:space="preserve">TXN001772</t>
  </si>
  <si>
    <t xml:space="preserve">TXN001773</t>
  </si>
  <si>
    <t xml:space="preserve">TXN001774</t>
  </si>
  <si>
    <t xml:space="preserve">CUST0278</t>
  </si>
  <si>
    <t xml:space="preserve">LN00378</t>
  </si>
  <si>
    <t xml:space="preserve">TXN001775</t>
  </si>
  <si>
    <t xml:space="preserve">LN00134</t>
  </si>
  <si>
    <t xml:space="preserve">TXN001776</t>
  </si>
  <si>
    <t xml:space="preserve">TXN001777</t>
  </si>
  <si>
    <t xml:space="preserve">TXN001778</t>
  </si>
  <si>
    <t xml:space="preserve">TXN001779</t>
  </si>
  <si>
    <t xml:space="preserve">CUST0797</t>
  </si>
  <si>
    <t xml:space="preserve">TXN001780</t>
  </si>
  <si>
    <t xml:space="preserve">TXN001781</t>
  </si>
  <si>
    <t xml:space="preserve">CUST0676</t>
  </si>
  <si>
    <t xml:space="preserve">TXN001782</t>
  </si>
  <si>
    <t xml:space="preserve">TXN001783</t>
  </si>
  <si>
    <t xml:space="preserve">TXN001784</t>
  </si>
  <si>
    <t xml:space="preserve">TXN001785</t>
  </si>
  <si>
    <t xml:space="preserve">TXN001786</t>
  </si>
  <si>
    <t xml:space="preserve">TXN001787</t>
  </si>
  <si>
    <t xml:space="preserve">TXN001788</t>
  </si>
  <si>
    <t xml:space="preserve">TXN001789</t>
  </si>
  <si>
    <t xml:space="preserve">TXN001790</t>
  </si>
  <si>
    <t xml:space="preserve">TXN001791</t>
  </si>
  <si>
    <t xml:space="preserve">TXN001792</t>
  </si>
  <si>
    <t xml:space="preserve">TXN001793</t>
  </si>
  <si>
    <t xml:space="preserve">TXN001794</t>
  </si>
  <si>
    <t xml:space="preserve">TXN001795</t>
  </si>
  <si>
    <t xml:space="preserve">TXN001796</t>
  </si>
  <si>
    <t xml:space="preserve">TXN001797</t>
  </si>
  <si>
    <t xml:space="preserve">TXN001798</t>
  </si>
  <si>
    <t xml:space="preserve">CUST0487</t>
  </si>
  <si>
    <t xml:space="preserve">TXN001799</t>
  </si>
  <si>
    <t xml:space="preserve">TXN001800</t>
  </si>
  <si>
    <t xml:space="preserve">CUST0491</t>
  </si>
  <si>
    <t xml:space="preserve">TXN001801</t>
  </si>
  <si>
    <t xml:space="preserve">TXN001802</t>
  </si>
  <si>
    <t xml:space="preserve">LN00397</t>
  </si>
  <si>
    <t xml:space="preserve">TXN001803</t>
  </si>
  <si>
    <t xml:space="preserve">CUST0155</t>
  </si>
  <si>
    <t xml:space="preserve">TXN001804</t>
  </si>
  <si>
    <t xml:space="preserve">CUST0030</t>
  </si>
  <si>
    <t xml:space="preserve">TXN001805</t>
  </si>
  <si>
    <t xml:space="preserve">TXN001806</t>
  </si>
  <si>
    <t xml:space="preserve">TXN001807</t>
  </si>
  <si>
    <t xml:space="preserve">TXN001808</t>
  </si>
  <si>
    <t xml:space="preserve">LN00083</t>
  </si>
  <si>
    <t xml:space="preserve">TXN001809</t>
  </si>
  <si>
    <t xml:space="preserve">LN00374</t>
  </si>
  <si>
    <t xml:space="preserve">TXN001810</t>
  </si>
  <si>
    <t xml:space="preserve">TXN001811</t>
  </si>
  <si>
    <t xml:space="preserve">TXN001812</t>
  </si>
  <si>
    <t xml:space="preserve">TXN001813</t>
  </si>
  <si>
    <t xml:space="preserve">CUST0095</t>
  </si>
  <si>
    <t xml:space="preserve">TXN001814</t>
  </si>
  <si>
    <t xml:space="preserve">TXN001815</t>
  </si>
  <si>
    <t xml:space="preserve">TXN001816</t>
  </si>
  <si>
    <t xml:space="preserve">TXN001817</t>
  </si>
  <si>
    <t xml:space="preserve">TXN001818</t>
  </si>
  <si>
    <t xml:space="preserve">TXN001819</t>
  </si>
  <si>
    <t xml:space="preserve">LN00808</t>
  </si>
  <si>
    <t xml:space="preserve">TXN001820</t>
  </si>
  <si>
    <t xml:space="preserve">TXN001821</t>
  </si>
  <si>
    <t xml:space="preserve">CUST0684</t>
  </si>
  <si>
    <t xml:space="preserve">TXN001822</t>
  </si>
  <si>
    <t xml:space="preserve">LN00274</t>
  </si>
  <si>
    <t xml:space="preserve">TXN001823</t>
  </si>
  <si>
    <t xml:space="preserve">TXN001824</t>
  </si>
  <si>
    <t xml:space="preserve">TXN001825</t>
  </si>
  <si>
    <t xml:space="preserve">TXN001826</t>
  </si>
  <si>
    <t xml:space="preserve">TXN001827</t>
  </si>
  <si>
    <t xml:space="preserve">CUST0313</t>
  </si>
  <si>
    <t xml:space="preserve">TXN001828</t>
  </si>
  <si>
    <t xml:space="preserve">TXN001829</t>
  </si>
  <si>
    <t xml:space="preserve">TXN001830</t>
  </si>
  <si>
    <t xml:space="preserve">TXN001831</t>
  </si>
  <si>
    <t xml:space="preserve">TXN001832</t>
  </si>
  <si>
    <t xml:space="preserve">TXN001833</t>
  </si>
  <si>
    <t xml:space="preserve">TXN001834</t>
  </si>
  <si>
    <t xml:space="preserve">TXN001835</t>
  </si>
  <si>
    <t xml:space="preserve">TXN001836</t>
  </si>
  <si>
    <t xml:space="preserve">TXN001837</t>
  </si>
  <si>
    <t xml:space="preserve">CUST0053</t>
  </si>
  <si>
    <t xml:space="preserve">TXN001838</t>
  </si>
  <si>
    <t xml:space="preserve">TXN001839</t>
  </si>
  <si>
    <t xml:space="preserve">TXN001840</t>
  </si>
  <si>
    <t xml:space="preserve">TXN001841</t>
  </si>
  <si>
    <t xml:space="preserve">TXN001842</t>
  </si>
  <si>
    <t xml:space="preserve">CUST0527</t>
  </si>
  <si>
    <t xml:space="preserve">TXN001843</t>
  </si>
  <si>
    <t xml:space="preserve">TXN001844</t>
  </si>
  <si>
    <t xml:space="preserve">TXN001845</t>
  </si>
  <si>
    <t xml:space="preserve">LN00189</t>
  </si>
  <si>
    <t xml:space="preserve">TXN001846</t>
  </si>
  <si>
    <t xml:space="preserve">TXN001847</t>
  </si>
  <si>
    <t xml:space="preserve">TXN001848</t>
  </si>
  <si>
    <t xml:space="preserve">TXN001849</t>
  </si>
  <si>
    <t xml:space="preserve">TXN001850</t>
  </si>
  <si>
    <t xml:space="preserve">TXN001851</t>
  </si>
  <si>
    <t xml:space="preserve">TXN001852</t>
  </si>
  <si>
    <t xml:space="preserve">TXN001853</t>
  </si>
  <si>
    <t xml:space="preserve">TXN001854</t>
  </si>
  <si>
    <t xml:space="preserve">TXN001855</t>
  </si>
  <si>
    <t xml:space="preserve">TXN001856</t>
  </si>
  <si>
    <t xml:space="preserve">CUST0692</t>
  </si>
  <si>
    <t xml:space="preserve">TXN001857</t>
  </si>
  <si>
    <t xml:space="preserve">TXN001858</t>
  </si>
  <si>
    <t xml:space="preserve">TXN001859</t>
  </si>
  <si>
    <t xml:space="preserve">TXN001860</t>
  </si>
  <si>
    <t xml:space="preserve">TXN001861</t>
  </si>
  <si>
    <t xml:space="preserve">TXN001862</t>
  </si>
  <si>
    <t xml:space="preserve">TXN001863</t>
  </si>
  <si>
    <t xml:space="preserve">TXN001864</t>
  </si>
  <si>
    <t xml:space="preserve">TXN001865</t>
  </si>
  <si>
    <t xml:space="preserve">LN00294</t>
  </si>
  <si>
    <t xml:space="preserve">TXN001866</t>
  </si>
  <si>
    <t xml:space="preserve">TXN001867</t>
  </si>
  <si>
    <t xml:space="preserve">TXN001868</t>
  </si>
  <si>
    <t xml:space="preserve">TXN001869</t>
  </si>
  <si>
    <t xml:space="preserve">LN00061</t>
  </si>
  <si>
    <t xml:space="preserve">TXN001870</t>
  </si>
  <si>
    <t xml:space="preserve">TXN001871</t>
  </si>
  <si>
    <t xml:space="preserve">TXN001872</t>
  </si>
  <si>
    <t xml:space="preserve">TXN001873</t>
  </si>
  <si>
    <t xml:space="preserve">CUST0472</t>
  </si>
  <si>
    <t xml:space="preserve">TXN001874</t>
  </si>
  <si>
    <t xml:space="preserve">TXN001875</t>
  </si>
  <si>
    <t xml:space="preserve">TXN001876</t>
  </si>
  <si>
    <t xml:space="preserve">TXN001877</t>
  </si>
  <si>
    <t xml:space="preserve">TXN001878</t>
  </si>
  <si>
    <t xml:space="preserve">TXN001879</t>
  </si>
  <si>
    <t xml:space="preserve">TXN001880</t>
  </si>
  <si>
    <t xml:space="preserve">TXN001881</t>
  </si>
  <si>
    <t xml:space="preserve">TXN001882</t>
  </si>
  <si>
    <t xml:space="preserve">TXN001883</t>
  </si>
  <si>
    <t xml:space="preserve">TXN001884</t>
  </si>
  <si>
    <t xml:space="preserve">TXN001885</t>
  </si>
  <si>
    <t xml:space="preserve">CUST0649</t>
  </si>
  <si>
    <t xml:space="preserve">LN00068</t>
  </si>
  <si>
    <t xml:space="preserve">TXN001886</t>
  </si>
  <si>
    <t xml:space="preserve">TXN001887</t>
  </si>
  <si>
    <t xml:space="preserve">TXN001888</t>
  </si>
  <si>
    <t xml:space="preserve">TXN001889</t>
  </si>
  <si>
    <t xml:space="preserve">TXN001890</t>
  </si>
  <si>
    <t xml:space="preserve">TXN001891</t>
  </si>
  <si>
    <t xml:space="preserve">TXN001892</t>
  </si>
  <si>
    <t xml:space="preserve">TXN001893</t>
  </si>
  <si>
    <t xml:space="preserve">TXN001894</t>
  </si>
  <si>
    <t xml:space="preserve">TXN001895</t>
  </si>
  <si>
    <t xml:space="preserve">TXN001896</t>
  </si>
  <si>
    <t xml:space="preserve">TXN001897</t>
  </si>
  <si>
    <t xml:space="preserve">TXN001898</t>
  </si>
  <si>
    <t xml:space="preserve">TXN001899</t>
  </si>
  <si>
    <t xml:space="preserve">TXN001900</t>
  </si>
  <si>
    <t xml:space="preserve">CUST0461</t>
  </si>
  <si>
    <t xml:space="preserve">LN00971</t>
  </si>
  <si>
    <t xml:space="preserve">TXN001901</t>
  </si>
  <si>
    <t xml:space="preserve">TXN001902</t>
  </si>
  <si>
    <t xml:space="preserve">TXN001903</t>
  </si>
  <si>
    <t xml:space="preserve">TXN001904</t>
  </si>
  <si>
    <t xml:space="preserve">TXN001905</t>
  </si>
  <si>
    <t xml:space="preserve">TXN001906</t>
  </si>
  <si>
    <t xml:space="preserve">TXN001907</t>
  </si>
  <si>
    <t xml:space="preserve">CUST0656</t>
  </si>
  <si>
    <t xml:space="preserve">TXN001908</t>
  </si>
  <si>
    <t xml:space="preserve">TXN001909</t>
  </si>
  <si>
    <t xml:space="preserve">TXN001910</t>
  </si>
  <si>
    <t xml:space="preserve">TXN001911</t>
  </si>
  <si>
    <t xml:space="preserve">TXN001912</t>
  </si>
  <si>
    <t xml:space="preserve">CUST0421</t>
  </si>
  <si>
    <t xml:space="preserve">TXN001913</t>
  </si>
  <si>
    <t xml:space="preserve">TXN001914</t>
  </si>
  <si>
    <t xml:space="preserve">TXN001915</t>
  </si>
  <si>
    <t xml:space="preserve">TXN001916</t>
  </si>
  <si>
    <t xml:space="preserve">TXN001917</t>
  </si>
  <si>
    <t xml:space="preserve">TXN001918</t>
  </si>
  <si>
    <t xml:space="preserve">TXN001919</t>
  </si>
  <si>
    <t xml:space="preserve">TXN001920</t>
  </si>
  <si>
    <t xml:space="preserve">TXN001921</t>
  </si>
  <si>
    <t xml:space="preserve">TXN001922</t>
  </si>
  <si>
    <t xml:space="preserve">TXN001923</t>
  </si>
  <si>
    <t xml:space="preserve">CUST0160</t>
  </si>
  <si>
    <t xml:space="preserve">TXN001924</t>
  </si>
  <si>
    <t xml:space="preserve">TXN001925</t>
  </si>
  <si>
    <t xml:space="preserve">TXN001926</t>
  </si>
  <si>
    <t xml:space="preserve">TXN001927</t>
  </si>
  <si>
    <t xml:space="preserve">TXN001928</t>
  </si>
  <si>
    <t xml:space="preserve">TXN001929</t>
  </si>
  <si>
    <t xml:space="preserve">TXN001930</t>
  </si>
  <si>
    <t xml:space="preserve">TXN001931</t>
  </si>
  <si>
    <t xml:space="preserve">LN00974</t>
  </si>
  <si>
    <t xml:space="preserve">TXN001932</t>
  </si>
  <si>
    <t xml:space="preserve">CUST0370</t>
  </si>
  <si>
    <t xml:space="preserve">TXN001933</t>
  </si>
  <si>
    <t xml:space="preserve">TXN001934</t>
  </si>
  <si>
    <t xml:space="preserve">TXN001935</t>
  </si>
  <si>
    <t xml:space="preserve">TXN001936</t>
  </si>
  <si>
    <t xml:space="preserve">TXN001937</t>
  </si>
  <si>
    <t xml:space="preserve">TXN001938</t>
  </si>
  <si>
    <t xml:space="preserve">CUST0724</t>
  </si>
  <si>
    <t xml:space="preserve">TXN001939</t>
  </si>
  <si>
    <t xml:space="preserve">TXN001940</t>
  </si>
  <si>
    <t xml:space="preserve">TXN001941</t>
  </si>
  <si>
    <t xml:space="preserve">CUST0368</t>
  </si>
  <si>
    <t xml:space="preserve">TXN001942</t>
  </si>
  <si>
    <t xml:space="preserve">TXN001943</t>
  </si>
  <si>
    <t xml:space="preserve">LN00542</t>
  </si>
  <si>
    <t xml:space="preserve">TXN001944</t>
  </si>
  <si>
    <t xml:space="preserve">TXN001945</t>
  </si>
  <si>
    <t xml:space="preserve">TXN001946</t>
  </si>
  <si>
    <t xml:space="preserve">TXN001947</t>
  </si>
  <si>
    <t xml:space="preserve">TXN001948</t>
  </si>
  <si>
    <t xml:space="preserve">TXN001949</t>
  </si>
  <si>
    <t xml:space="preserve">TXN001950</t>
  </si>
  <si>
    <t xml:space="preserve">TXN001951</t>
  </si>
  <si>
    <t xml:space="preserve">TXN001952</t>
  </si>
  <si>
    <t xml:space="preserve">TXN001953</t>
  </si>
  <si>
    <t xml:space="preserve">TXN001954</t>
  </si>
  <si>
    <t xml:space="preserve">TXN001955</t>
  </si>
  <si>
    <t xml:space="preserve">TXN001956</t>
  </si>
  <si>
    <t xml:space="preserve">CUST0091</t>
  </si>
  <si>
    <t xml:space="preserve">TXN001957</t>
  </si>
  <si>
    <t xml:space="preserve">TXN001958</t>
  </si>
  <si>
    <t xml:space="preserve">LN00454</t>
  </si>
  <si>
    <t xml:space="preserve">TXN001959</t>
  </si>
  <si>
    <t xml:space="preserve">TXN001960</t>
  </si>
  <si>
    <t xml:space="preserve">TXN001961</t>
  </si>
  <si>
    <t xml:space="preserve">CUST0315</t>
  </si>
  <si>
    <t xml:space="preserve">TXN001962</t>
  </si>
  <si>
    <t xml:space="preserve">TXN001963</t>
  </si>
  <si>
    <t xml:space="preserve">TXN001964</t>
  </si>
  <si>
    <t xml:space="preserve">TXN001965</t>
  </si>
  <si>
    <t xml:space="preserve">TXN001966</t>
  </si>
  <si>
    <t xml:space="preserve">TXN001967</t>
  </si>
  <si>
    <t xml:space="preserve">TXN001968</t>
  </si>
  <si>
    <t xml:space="preserve">TXN001969</t>
  </si>
  <si>
    <t xml:space="preserve">TXN001970</t>
  </si>
  <si>
    <t xml:space="preserve">CUST0501</t>
  </si>
  <si>
    <t xml:space="preserve">TXN001971</t>
  </si>
  <si>
    <t xml:space="preserve">TXN001972</t>
  </si>
  <si>
    <t xml:space="preserve">TXN001973</t>
  </si>
  <si>
    <t xml:space="preserve">TXN001974</t>
  </si>
  <si>
    <t xml:space="preserve">TXN001975</t>
  </si>
  <si>
    <t xml:space="preserve">TXN001976</t>
  </si>
  <si>
    <t xml:space="preserve">TXN001977</t>
  </si>
  <si>
    <t xml:space="preserve">TXN001978</t>
  </si>
  <si>
    <t xml:space="preserve">TXN001979</t>
  </si>
  <si>
    <t xml:space="preserve">TXN001980</t>
  </si>
  <si>
    <t xml:space="preserve">TXN001981</t>
  </si>
  <si>
    <t xml:space="preserve">TXN001982</t>
  </si>
  <si>
    <t xml:space="preserve">TXN001983</t>
  </si>
  <si>
    <t xml:space="preserve">TXN001984</t>
  </si>
  <si>
    <t xml:space="preserve">LN00097</t>
  </si>
  <si>
    <t xml:space="preserve">TXN001985</t>
  </si>
  <si>
    <t xml:space="preserve">LN00643</t>
  </si>
  <si>
    <t xml:space="preserve">TXN001986</t>
  </si>
  <si>
    <t xml:space="preserve">TXN001987</t>
  </si>
  <si>
    <t xml:space="preserve">TXN001988</t>
  </si>
  <si>
    <t xml:space="preserve">CUST0607</t>
  </si>
  <si>
    <t xml:space="preserve">TXN001989</t>
  </si>
  <si>
    <t xml:space="preserve">TXN001990</t>
  </si>
  <si>
    <t xml:space="preserve">TXN001991</t>
  </si>
  <si>
    <t xml:space="preserve">TXN001992</t>
  </si>
  <si>
    <t xml:space="preserve">TXN001993</t>
  </si>
  <si>
    <t xml:space="preserve">TXN001994</t>
  </si>
  <si>
    <t xml:space="preserve">TXN001995</t>
  </si>
  <si>
    <t xml:space="preserve">TXN001996</t>
  </si>
  <si>
    <t xml:space="preserve">TXN001997</t>
  </si>
  <si>
    <t xml:space="preserve">TXN001998</t>
  </si>
  <si>
    <t xml:space="preserve">TXN001999</t>
  </si>
  <si>
    <t xml:space="preserve">CUST0636</t>
  </si>
  <si>
    <t xml:space="preserve">TXN002000</t>
  </si>
  <si>
    <t xml:space="preserve">TXN002001</t>
  </si>
  <si>
    <t xml:space="preserve">TXN002002</t>
  </si>
  <si>
    <t xml:space="preserve">TXN002003</t>
  </si>
  <si>
    <t xml:space="preserve">TXN002004</t>
  </si>
  <si>
    <t xml:space="preserve">TXN002005</t>
  </si>
  <si>
    <t xml:space="preserve">TXN002006</t>
  </si>
  <si>
    <t xml:space="preserve">TXN002007</t>
  </si>
  <si>
    <t xml:space="preserve">TXN002008</t>
  </si>
  <si>
    <t xml:space="preserve">TXN002009</t>
  </si>
  <si>
    <t xml:space="preserve">TXN002010</t>
  </si>
  <si>
    <t xml:space="preserve">TXN002011</t>
  </si>
  <si>
    <t xml:space="preserve">TXN002012</t>
  </si>
  <si>
    <t xml:space="preserve">TXN002013</t>
  </si>
  <si>
    <t xml:space="preserve">TXN002014</t>
  </si>
  <si>
    <t xml:space="preserve">TXN002015</t>
  </si>
  <si>
    <t xml:space="preserve">TXN002016</t>
  </si>
  <si>
    <t xml:space="preserve">CUST0796</t>
  </si>
  <si>
    <t xml:space="preserve">TXN002017</t>
  </si>
  <si>
    <t xml:space="preserve">TXN002018</t>
  </si>
  <si>
    <t xml:space="preserve">TXN002019</t>
  </si>
  <si>
    <t xml:space="preserve">TXN002020</t>
  </si>
  <si>
    <t xml:space="preserve">LN00264</t>
  </si>
  <si>
    <t xml:space="preserve">TXN002021</t>
  </si>
  <si>
    <t xml:space="preserve">LN00660</t>
  </si>
  <si>
    <t xml:space="preserve">TXN002022</t>
  </si>
  <si>
    <t xml:space="preserve">LN00506</t>
  </si>
  <si>
    <t xml:space="preserve">TXN002023</t>
  </si>
  <si>
    <t xml:space="preserve">TXN002024</t>
  </si>
  <si>
    <t xml:space="preserve">TXN002025</t>
  </si>
  <si>
    <t xml:space="preserve">CUST0470</t>
  </si>
  <si>
    <t xml:space="preserve">TXN002026</t>
  </si>
  <si>
    <t xml:space="preserve">CUST0417</t>
  </si>
  <si>
    <t xml:space="preserve">TXN002027</t>
  </si>
  <si>
    <t xml:space="preserve">TXN002028</t>
  </si>
  <si>
    <t xml:space="preserve">TXN002029</t>
  </si>
  <si>
    <t xml:space="preserve">TXN002030</t>
  </si>
  <si>
    <t xml:space="preserve">TXN002031</t>
  </si>
  <si>
    <t xml:space="preserve">TXN002032</t>
  </si>
  <si>
    <t xml:space="preserve">TXN002033</t>
  </si>
  <si>
    <t xml:space="preserve">TXN002034</t>
  </si>
  <si>
    <t xml:space="preserve">LN00781</t>
  </si>
  <si>
    <t xml:space="preserve">TXN002035</t>
  </si>
  <si>
    <t xml:space="preserve">TXN002036</t>
  </si>
  <si>
    <t xml:space="preserve">CUST0159</t>
  </si>
  <si>
    <t xml:space="preserve">TXN002037</t>
  </si>
  <si>
    <t xml:space="preserve">TXN002038</t>
  </si>
  <si>
    <t xml:space="preserve">TXN002039</t>
  </si>
  <si>
    <t xml:space="preserve">TXN002040</t>
  </si>
  <si>
    <t xml:space="preserve">TXN002041</t>
  </si>
  <si>
    <t xml:space="preserve">TXN002042</t>
  </si>
  <si>
    <t xml:space="preserve">TXN002043</t>
  </si>
  <si>
    <t xml:space="preserve">LN00314</t>
  </si>
  <si>
    <t xml:space="preserve">TXN002044</t>
  </si>
  <si>
    <t xml:space="preserve">TXN002045</t>
  </si>
  <si>
    <t xml:space="preserve">TXN002046</t>
  </si>
  <si>
    <t xml:space="preserve">LN00548</t>
  </si>
  <si>
    <t xml:space="preserve">TXN002047</t>
  </si>
  <si>
    <t xml:space="preserve">TXN002048</t>
  </si>
  <si>
    <t xml:space="preserve">TXN002049</t>
  </si>
  <si>
    <t xml:space="preserve">TXN002050</t>
  </si>
  <si>
    <t xml:space="preserve">LN00822</t>
  </si>
  <si>
    <t xml:space="preserve">TXN002051</t>
  </si>
  <si>
    <t xml:space="preserve">TXN002052</t>
  </si>
  <si>
    <t xml:space="preserve">TXN002053</t>
  </si>
  <si>
    <t xml:space="preserve">TXN002054</t>
  </si>
  <si>
    <t xml:space="preserve">TXN002055</t>
  </si>
  <si>
    <t xml:space="preserve">CUST0613</t>
  </si>
  <si>
    <t xml:space="preserve">TXN002056</t>
  </si>
  <si>
    <t xml:space="preserve">TXN002057</t>
  </si>
  <si>
    <t xml:space="preserve">CUST0346</t>
  </si>
  <si>
    <t xml:space="preserve">TXN002058</t>
  </si>
  <si>
    <t xml:space="preserve">TXN002059</t>
  </si>
  <si>
    <t xml:space="preserve">TXN002060</t>
  </si>
  <si>
    <t xml:space="preserve">TXN002061</t>
  </si>
  <si>
    <t xml:space="preserve">CUST0781</t>
  </si>
  <si>
    <t xml:space="preserve">TXN002062</t>
  </si>
  <si>
    <t xml:space="preserve">TXN002063</t>
  </si>
  <si>
    <t xml:space="preserve">TXN002064</t>
  </si>
  <si>
    <t xml:space="preserve">TXN002065</t>
  </si>
  <si>
    <t xml:space="preserve">LN00135</t>
  </si>
  <si>
    <t xml:space="preserve">TXN002066</t>
  </si>
  <si>
    <t xml:space="preserve">TXN002067</t>
  </si>
  <si>
    <t xml:space="preserve">CUST0632</t>
  </si>
  <si>
    <t xml:space="preserve">TXN002068</t>
  </si>
  <si>
    <t xml:space="preserve">LN00648</t>
  </si>
  <si>
    <t xml:space="preserve">TXN002069</t>
  </si>
  <si>
    <t xml:space="preserve">CUST0277</t>
  </si>
  <si>
    <t xml:space="preserve">TXN002070</t>
  </si>
  <si>
    <t xml:space="preserve">TXN002071</t>
  </si>
  <si>
    <t xml:space="preserve">TXN002072</t>
  </si>
  <si>
    <t xml:space="preserve">TXN002073</t>
  </si>
  <si>
    <t xml:space="preserve">TXN002074</t>
  </si>
  <si>
    <t xml:space="preserve">TXN002075</t>
  </si>
  <si>
    <t xml:space="preserve">TXN002076</t>
  </si>
  <si>
    <t xml:space="preserve">TXN002077</t>
  </si>
  <si>
    <t xml:space="preserve">TXN002078</t>
  </si>
  <si>
    <t xml:space="preserve">TXN002079</t>
  </si>
  <si>
    <t xml:space="preserve">LN00588</t>
  </si>
  <si>
    <t xml:space="preserve">TXN002080</t>
  </si>
  <si>
    <t xml:space="preserve">TXN002081</t>
  </si>
  <si>
    <t xml:space="preserve">LN00954</t>
  </si>
  <si>
    <t xml:space="preserve">TXN002082</t>
  </si>
  <si>
    <t xml:space="preserve">TXN002083</t>
  </si>
  <si>
    <t xml:space="preserve">TXN002084</t>
  </si>
  <si>
    <t xml:space="preserve">LN00526</t>
  </si>
  <si>
    <t xml:space="preserve">TXN002085</t>
  </si>
  <si>
    <t xml:space="preserve">TXN002086</t>
  </si>
  <si>
    <t xml:space="preserve">TXN002087</t>
  </si>
  <si>
    <t xml:space="preserve">LN00789</t>
  </si>
  <si>
    <t xml:space="preserve">TXN002088</t>
  </si>
  <si>
    <t xml:space="preserve">TXN002089</t>
  </si>
  <si>
    <t xml:space="preserve">TXN002090</t>
  </si>
  <si>
    <t xml:space="preserve">TXN002091</t>
  </si>
  <si>
    <t xml:space="preserve">TXN002092</t>
  </si>
  <si>
    <t xml:space="preserve">TXN002093</t>
  </si>
  <si>
    <t xml:space="preserve">TXN002094</t>
  </si>
  <si>
    <t xml:space="preserve">CUST0012</t>
  </si>
  <si>
    <t xml:space="preserve">TXN002095</t>
  </si>
  <si>
    <t xml:space="preserve">TXN002096</t>
  </si>
  <si>
    <t xml:space="preserve">TXN002097</t>
  </si>
  <si>
    <t xml:space="preserve">CUST0683</t>
  </si>
  <si>
    <t xml:space="preserve">TXN002098</t>
  </si>
  <si>
    <t xml:space="preserve">TXN002099</t>
  </si>
  <si>
    <t xml:space="preserve">TXN002100</t>
  </si>
  <si>
    <t xml:space="preserve">TXN002101</t>
  </si>
  <si>
    <t xml:space="preserve">TXN002102</t>
  </si>
  <si>
    <t xml:space="preserve">TXN002103</t>
  </si>
  <si>
    <t xml:space="preserve">TXN002104</t>
  </si>
  <si>
    <t xml:space="preserve">TXN002105</t>
  </si>
  <si>
    <t xml:space="preserve">TXN002106</t>
  </si>
  <si>
    <t xml:space="preserve">TXN002107</t>
  </si>
  <si>
    <t xml:space="preserve">TXN002108</t>
  </si>
  <si>
    <t xml:space="preserve">TXN002109</t>
  </si>
  <si>
    <t xml:space="preserve">TXN002110</t>
  </si>
  <si>
    <t xml:space="preserve">TXN002111</t>
  </si>
  <si>
    <t xml:space="preserve">TXN002112</t>
  </si>
  <si>
    <t xml:space="preserve">TXN002113</t>
  </si>
  <si>
    <t xml:space="preserve">TXN002114</t>
  </si>
  <si>
    <t xml:space="preserve">TXN002115</t>
  </si>
  <si>
    <t xml:space="preserve">LN00301</t>
  </si>
  <si>
    <t xml:space="preserve">TXN002116</t>
  </si>
  <si>
    <t xml:space="preserve">TXN002117</t>
  </si>
  <si>
    <t xml:space="preserve">TXN002118</t>
  </si>
  <si>
    <t xml:space="preserve">LN00642</t>
  </si>
  <si>
    <t xml:space="preserve">TXN002119</t>
  </si>
  <si>
    <t xml:space="preserve">TXN002120</t>
  </si>
  <si>
    <t xml:space="preserve">TXN002121</t>
  </si>
  <si>
    <t xml:space="preserve">TXN002122</t>
  </si>
  <si>
    <t xml:space="preserve">CUST0743</t>
  </si>
  <si>
    <t xml:space="preserve">TXN002123</t>
  </si>
  <si>
    <t xml:space="preserve">LN00193</t>
  </si>
  <si>
    <t xml:space="preserve">TXN002124</t>
  </si>
  <si>
    <t xml:space="preserve">LN00465</t>
  </si>
  <si>
    <t xml:space="preserve">TXN002125</t>
  </si>
  <si>
    <t xml:space="preserve">TXN002126</t>
  </si>
  <si>
    <t xml:space="preserve">TXN002127</t>
  </si>
  <si>
    <t xml:space="preserve">LN00583</t>
  </si>
  <si>
    <t xml:space="preserve">TXN002128</t>
  </si>
  <si>
    <t xml:space="preserve">TXN002129</t>
  </si>
  <si>
    <t xml:space="preserve">TXN002130</t>
  </si>
  <si>
    <t xml:space="preserve">LN00649</t>
  </si>
  <si>
    <t xml:space="preserve">TXN002131</t>
  </si>
  <si>
    <t xml:space="preserve">TXN002132</t>
  </si>
  <si>
    <t xml:space="preserve">TXN002133</t>
  </si>
  <si>
    <t xml:space="preserve">TXN002134</t>
  </si>
  <si>
    <t xml:space="preserve">TXN002135</t>
  </si>
  <si>
    <t xml:space="preserve">TXN002136</t>
  </si>
  <si>
    <t xml:space="preserve">TXN002137</t>
  </si>
  <si>
    <t xml:space="preserve">TXN002138</t>
  </si>
  <si>
    <t xml:space="preserve">TXN002139</t>
  </si>
  <si>
    <t xml:space="preserve">LN00634</t>
  </si>
  <si>
    <t xml:space="preserve">TXN002140</t>
  </si>
  <si>
    <t xml:space="preserve">CUST0420</t>
  </si>
  <si>
    <t xml:space="preserve">TXN002141</t>
  </si>
  <si>
    <t xml:space="preserve">TXN002142</t>
  </si>
  <si>
    <t xml:space="preserve">CUST0779</t>
  </si>
  <si>
    <t xml:space="preserve">TXN002143</t>
  </si>
  <si>
    <t xml:space="preserve">TXN002144</t>
  </si>
  <si>
    <t xml:space="preserve">TXN002145</t>
  </si>
  <si>
    <t xml:space="preserve">TXN002146</t>
  </si>
  <si>
    <t xml:space="preserve">TXN002147</t>
  </si>
  <si>
    <t xml:space="preserve">TXN002148</t>
  </si>
  <si>
    <t xml:space="preserve">TXN002149</t>
  </si>
  <si>
    <t xml:space="preserve">TXN002150</t>
  </si>
  <si>
    <t xml:space="preserve">TXN002151</t>
  </si>
  <si>
    <t xml:space="preserve">TXN002152</t>
  </si>
  <si>
    <t xml:space="preserve">TXN002153</t>
  </si>
  <si>
    <t xml:space="preserve">TXN002154</t>
  </si>
  <si>
    <t xml:space="preserve">TXN002155</t>
  </si>
  <si>
    <t xml:space="preserve">TXN002156</t>
  </si>
  <si>
    <t xml:space="preserve">TXN002157</t>
  </si>
  <si>
    <t xml:space="preserve">TXN002158</t>
  </si>
  <si>
    <t xml:space="preserve">LN00487</t>
  </si>
  <si>
    <t xml:space="preserve">TXN002159</t>
  </si>
  <si>
    <t xml:space="preserve">TXN002160</t>
  </si>
  <si>
    <t xml:space="preserve">TXN002161</t>
  </si>
  <si>
    <t xml:space="preserve">TXN002162</t>
  </si>
  <si>
    <t xml:space="preserve">TXN002163</t>
  </si>
  <si>
    <t xml:space="preserve">TXN002164</t>
  </si>
  <si>
    <t xml:space="preserve">LN00837</t>
  </si>
  <si>
    <t xml:space="preserve">TXN002165</t>
  </si>
  <si>
    <t xml:space="preserve">TXN002166</t>
  </si>
  <si>
    <t xml:space="preserve">TXN002167</t>
  </si>
  <si>
    <t xml:space="preserve">TXN002168</t>
  </si>
  <si>
    <t xml:space="preserve">TXN002169</t>
  </si>
  <si>
    <t xml:space="preserve">TXN002170</t>
  </si>
  <si>
    <t xml:space="preserve">TXN002171</t>
  </si>
  <si>
    <t xml:space="preserve">TXN002172</t>
  </si>
  <si>
    <t xml:space="preserve">TXN002173</t>
  </si>
  <si>
    <t xml:space="preserve">TXN002174</t>
  </si>
  <si>
    <t xml:space="preserve">TXN002175</t>
  </si>
  <si>
    <t xml:space="preserve">TXN002176</t>
  </si>
  <si>
    <t xml:space="preserve">TXN002177</t>
  </si>
  <si>
    <t xml:space="preserve">TXN002178</t>
  </si>
  <si>
    <t xml:space="preserve">TXN002179</t>
  </si>
  <si>
    <t xml:space="preserve">TXN002180</t>
  </si>
  <si>
    <t xml:space="preserve">TXN002181</t>
  </si>
  <si>
    <t xml:space="preserve">TXN002182</t>
  </si>
  <si>
    <t xml:space="preserve">CUST0266</t>
  </si>
  <si>
    <t xml:space="preserve">TXN002183</t>
  </si>
  <si>
    <t xml:space="preserve">TXN002184</t>
  </si>
  <si>
    <t xml:space="preserve">CUST0488</t>
  </si>
  <si>
    <t xml:space="preserve">TXN002185</t>
  </si>
  <si>
    <t xml:space="preserve">TXN002186</t>
  </si>
  <si>
    <t xml:space="preserve">TXN002187</t>
  </si>
  <si>
    <t xml:space="preserve">TXN002188</t>
  </si>
  <si>
    <t xml:space="preserve">LN00227</t>
  </si>
  <si>
    <t xml:space="preserve">TXN002189</t>
  </si>
  <si>
    <t xml:space="preserve">TXN002190</t>
  </si>
  <si>
    <t xml:space="preserve">TXN002191</t>
  </si>
  <si>
    <t xml:space="preserve">TXN002192</t>
  </si>
  <si>
    <t xml:space="preserve">LN00291</t>
  </si>
  <si>
    <t xml:space="preserve">TXN002193</t>
  </si>
  <si>
    <t xml:space="preserve">TXN002194</t>
  </si>
  <si>
    <t xml:space="preserve">TXN002195</t>
  </si>
  <si>
    <t xml:space="preserve">TXN002196</t>
  </si>
  <si>
    <t xml:space="preserve">TXN002197</t>
  </si>
  <si>
    <t xml:space="preserve">TXN002198</t>
  </si>
  <si>
    <t xml:space="preserve">CUST0507</t>
  </si>
  <si>
    <t xml:space="preserve">TXN002199</t>
  </si>
  <si>
    <t xml:space="preserve">TXN002200</t>
  </si>
  <si>
    <t xml:space="preserve">TXN002201</t>
  </si>
  <si>
    <t xml:space="preserve">TXN002202</t>
  </si>
  <si>
    <t xml:space="preserve">TXN002203</t>
  </si>
  <si>
    <t xml:space="preserve">TXN002204</t>
  </si>
  <si>
    <t xml:space="preserve">TXN002205</t>
  </si>
  <si>
    <t xml:space="preserve">TXN002206</t>
  </si>
  <si>
    <t xml:space="preserve">TXN002207</t>
  </si>
  <si>
    <t xml:space="preserve">TXN002208</t>
  </si>
  <si>
    <t xml:space="preserve">TXN002209</t>
  </si>
  <si>
    <t xml:space="preserve">TXN002210</t>
  </si>
  <si>
    <t xml:space="preserve">TXN002211</t>
  </si>
  <si>
    <t xml:space="preserve">TXN002212</t>
  </si>
  <si>
    <t xml:space="preserve">TXN002213</t>
  </si>
  <si>
    <t xml:space="preserve">TXN002214</t>
  </si>
  <si>
    <t xml:space="preserve">TXN002215</t>
  </si>
  <si>
    <t xml:space="preserve">TXN002216</t>
  </si>
  <si>
    <t xml:space="preserve">CUST0795</t>
  </si>
  <si>
    <t xml:space="preserve">TXN002217</t>
  </si>
  <si>
    <t xml:space="preserve">TXN002218</t>
  </si>
  <si>
    <t xml:space="preserve">TXN002219</t>
  </si>
  <si>
    <t xml:space="preserve">TXN002220</t>
  </si>
  <si>
    <t xml:space="preserve">CUST0438</t>
  </si>
  <si>
    <t xml:space="preserve">TXN002221</t>
  </si>
  <si>
    <t xml:space="preserve">TXN002222</t>
  </si>
  <si>
    <t xml:space="preserve">TXN002223</t>
  </si>
  <si>
    <t xml:space="preserve">CUST0264</t>
  </si>
  <si>
    <t xml:space="preserve">TXN002224</t>
  </si>
  <si>
    <t xml:space="preserve">TXN002225</t>
  </si>
  <si>
    <t xml:space="preserve">TXN002226</t>
  </si>
  <si>
    <t xml:space="preserve">LN00377</t>
  </si>
  <si>
    <t xml:space="preserve">TXN002227</t>
  </si>
  <si>
    <t xml:space="preserve">TXN002228</t>
  </si>
  <si>
    <t xml:space="preserve">CUST0377</t>
  </si>
  <si>
    <t xml:space="preserve">TXN002229</t>
  </si>
  <si>
    <t xml:space="preserve">TXN002230</t>
  </si>
  <si>
    <t xml:space="preserve">TXN002231</t>
  </si>
  <si>
    <t xml:space="preserve">TXN002232</t>
  </si>
  <si>
    <t xml:space="preserve">TXN002233</t>
  </si>
  <si>
    <t xml:space="preserve">LN00287</t>
  </si>
  <si>
    <t xml:space="preserve">TXN002234</t>
  </si>
  <si>
    <t xml:space="preserve">CUST0374</t>
  </si>
  <si>
    <t xml:space="preserve">TXN002235</t>
  </si>
  <si>
    <t xml:space="preserve">TXN002236</t>
  </si>
  <si>
    <t xml:space="preserve">TXN002237</t>
  </si>
  <si>
    <t xml:space="preserve">TXN002238</t>
  </si>
  <si>
    <t xml:space="preserve">TXN002239</t>
  </si>
  <si>
    <t xml:space="preserve">LN00855</t>
  </si>
  <si>
    <t xml:space="preserve">TXN002240</t>
  </si>
  <si>
    <t xml:space="preserve">TXN002241</t>
  </si>
  <si>
    <t xml:space="preserve">TXN002242</t>
  </si>
  <si>
    <t xml:space="preserve">TXN002243</t>
  </si>
  <si>
    <t xml:space="preserve">TXN002244</t>
  </si>
  <si>
    <t xml:space="preserve">CUST0708</t>
  </si>
  <si>
    <t xml:space="preserve">TXN002245</t>
  </si>
  <si>
    <t xml:space="preserve">TXN002246</t>
  </si>
  <si>
    <t xml:space="preserve">TXN002247</t>
  </si>
  <si>
    <t xml:space="preserve">TXN002248</t>
  </si>
  <si>
    <t xml:space="preserve">TXN002249</t>
  </si>
  <si>
    <t xml:space="preserve">TXN002250</t>
  </si>
  <si>
    <t xml:space="preserve">TXN002251</t>
  </si>
  <si>
    <t xml:space="preserve">TXN002252</t>
  </si>
  <si>
    <t xml:space="preserve">TXN002253</t>
  </si>
  <si>
    <t xml:space="preserve">CUST0061</t>
  </si>
  <si>
    <t xml:space="preserve">TXN002254</t>
  </si>
  <si>
    <t xml:space="preserve">TXN002255</t>
  </si>
  <si>
    <t xml:space="preserve">TXN002256</t>
  </si>
  <si>
    <t xml:space="preserve">TXN002257</t>
  </si>
  <si>
    <t xml:space="preserve">TXN002258</t>
  </si>
  <si>
    <t xml:space="preserve">TXN002259</t>
  </si>
  <si>
    <t xml:space="preserve">TXN002260</t>
  </si>
  <si>
    <t xml:space="preserve">TXN002261</t>
  </si>
  <si>
    <t xml:space="preserve">TXN002262</t>
  </si>
  <si>
    <t xml:space="preserve">TXN002263</t>
  </si>
  <si>
    <t xml:space="preserve">TXN002264</t>
  </si>
  <si>
    <t xml:space="preserve">TXN002265</t>
  </si>
  <si>
    <t xml:space="preserve">TXN002266</t>
  </si>
  <si>
    <t xml:space="preserve">TXN002267</t>
  </si>
  <si>
    <t xml:space="preserve">TXN002268</t>
  </si>
  <si>
    <t xml:space="preserve">TXN002269</t>
  </si>
  <si>
    <t xml:space="preserve">TXN002270</t>
  </si>
  <si>
    <t xml:space="preserve">TXN002271</t>
  </si>
  <si>
    <t xml:space="preserve">CUST0111</t>
  </si>
  <si>
    <t xml:space="preserve">LN00707</t>
  </si>
  <si>
    <t xml:space="preserve">TXN002272</t>
  </si>
  <si>
    <t xml:space="preserve">TXN002273</t>
  </si>
  <si>
    <t xml:space="preserve">TXN002274</t>
  </si>
  <si>
    <t xml:space="preserve">TXN002275</t>
  </si>
  <si>
    <t xml:space="preserve">TXN002276</t>
  </si>
  <si>
    <t xml:space="preserve">TXN002277</t>
  </si>
  <si>
    <t xml:space="preserve">TXN002278</t>
  </si>
  <si>
    <t xml:space="preserve">CUST0128</t>
  </si>
  <si>
    <t xml:space="preserve">TXN002279</t>
  </si>
  <si>
    <t xml:space="preserve">TXN002280</t>
  </si>
  <si>
    <t xml:space="preserve">TXN002281</t>
  </si>
  <si>
    <t xml:space="preserve">TXN002282</t>
  </si>
  <si>
    <t xml:space="preserve">TXN002283</t>
  </si>
  <si>
    <t xml:space="preserve">CUST0332</t>
  </si>
  <si>
    <t xml:space="preserve">TXN002284</t>
  </si>
  <si>
    <t xml:space="preserve">TXN002285</t>
  </si>
  <si>
    <t xml:space="preserve">TXN002286</t>
  </si>
  <si>
    <t xml:space="preserve">TXN002287</t>
  </si>
  <si>
    <t xml:space="preserve">TXN002288</t>
  </si>
  <si>
    <t xml:space="preserve">TXN002289</t>
  </si>
  <si>
    <t xml:space="preserve">LN01085</t>
  </si>
  <si>
    <t xml:space="preserve">TXN002290</t>
  </si>
  <si>
    <t xml:space="preserve">TXN002291</t>
  </si>
  <si>
    <t xml:space="preserve">TXN002292</t>
  </si>
  <si>
    <t xml:space="preserve">TXN002293</t>
  </si>
  <si>
    <t xml:space="preserve">TXN002294</t>
  </si>
  <si>
    <t xml:space="preserve">TXN002295</t>
  </si>
  <si>
    <t xml:space="preserve">TXN002296</t>
  </si>
  <si>
    <t xml:space="preserve">TXN002297</t>
  </si>
  <si>
    <t xml:space="preserve">LN00273</t>
  </si>
  <si>
    <t xml:space="preserve">TXN002298</t>
  </si>
  <si>
    <t xml:space="preserve">TXN002299</t>
  </si>
  <si>
    <t xml:space="preserve">TXN002300</t>
  </si>
  <si>
    <t xml:space="preserve">LN00533</t>
  </si>
  <si>
    <t xml:space="preserve">TXN002301</t>
  </si>
  <si>
    <t xml:space="preserve">LN01040</t>
  </si>
  <si>
    <t xml:space="preserve">TXN002302</t>
  </si>
  <si>
    <t xml:space="preserve">TXN002303</t>
  </si>
  <si>
    <t xml:space="preserve">TXN002304</t>
  </si>
  <si>
    <t xml:space="preserve">TXN002305</t>
  </si>
  <si>
    <t xml:space="preserve">TXN002306</t>
  </si>
  <si>
    <t xml:space="preserve">TXN002307</t>
  </si>
  <si>
    <t xml:space="preserve">TXN002308</t>
  </si>
  <si>
    <t xml:space="preserve">TXN002309</t>
  </si>
  <si>
    <t xml:space="preserve">TXN002310</t>
  </si>
  <si>
    <t xml:space="preserve">TXN002311</t>
  </si>
  <si>
    <t xml:space="preserve">TXN002312</t>
  </si>
  <si>
    <t xml:space="preserve">TXN002313</t>
  </si>
  <si>
    <t xml:space="preserve">TXN002314</t>
  </si>
  <si>
    <t xml:space="preserve">TXN002315</t>
  </si>
  <si>
    <t xml:space="preserve">TXN002316</t>
  </si>
  <si>
    <t xml:space="preserve">TXN002317</t>
  </si>
  <si>
    <t xml:space="preserve">LN00694</t>
  </si>
  <si>
    <t xml:space="preserve">TXN002318</t>
  </si>
  <si>
    <t xml:space="preserve">TXN002319</t>
  </si>
  <si>
    <t xml:space="preserve">TXN002320</t>
  </si>
  <si>
    <t xml:space="preserve">TXN002321</t>
  </si>
  <si>
    <t xml:space="preserve">LN00275</t>
  </si>
  <si>
    <t xml:space="preserve">TXN002322</t>
  </si>
  <si>
    <t xml:space="preserve">TXN002323</t>
  </si>
  <si>
    <t xml:space="preserve">TXN002324</t>
  </si>
  <si>
    <t xml:space="preserve">TXN002325</t>
  </si>
  <si>
    <t xml:space="preserve">TXN002326</t>
  </si>
  <si>
    <t xml:space="preserve">TXN002327</t>
  </si>
  <si>
    <t xml:space="preserve">TXN002328</t>
  </si>
  <si>
    <t xml:space="preserve">TXN002329</t>
  </si>
  <si>
    <t xml:space="preserve">TXN002330</t>
  </si>
  <si>
    <t xml:space="preserve">TXN002331</t>
  </si>
  <si>
    <t xml:space="preserve">TXN002332</t>
  </si>
  <si>
    <t xml:space="preserve">TXN002333</t>
  </si>
  <si>
    <t xml:space="preserve">LN00431</t>
  </si>
  <si>
    <t xml:space="preserve">TXN002334</t>
  </si>
  <si>
    <t xml:space="preserve">TXN002335</t>
  </si>
  <si>
    <t xml:space="preserve">TXN002336</t>
  </si>
  <si>
    <t xml:space="preserve">TXN002337</t>
  </si>
  <si>
    <t xml:space="preserve">CUST0661</t>
  </si>
  <si>
    <t xml:space="preserve">TXN002338</t>
  </si>
  <si>
    <t xml:space="preserve">TXN002339</t>
  </si>
  <si>
    <t xml:space="preserve">TXN002340</t>
  </si>
  <si>
    <t xml:space="preserve">TXN002341</t>
  </si>
  <si>
    <t xml:space="preserve">LN01012</t>
  </si>
  <si>
    <t xml:space="preserve">TXN002342</t>
  </si>
  <si>
    <t xml:space="preserve">TXN002343</t>
  </si>
  <si>
    <t xml:space="preserve">TXN002344</t>
  </si>
  <si>
    <t xml:space="preserve">TXN002345</t>
  </si>
  <si>
    <t xml:space="preserve">TXN002346</t>
  </si>
  <si>
    <t xml:space="preserve">LN00236</t>
  </si>
  <si>
    <t xml:space="preserve">TXN002347</t>
  </si>
  <si>
    <t xml:space="preserve">TXN002348</t>
  </si>
  <si>
    <t xml:space="preserve">CUST0630</t>
  </si>
  <si>
    <t xml:space="preserve">LN00929</t>
  </si>
  <si>
    <t xml:space="preserve">TXN002349</t>
  </si>
  <si>
    <t xml:space="preserve">TXN002350</t>
  </si>
  <si>
    <t xml:space="preserve">CUST0384</t>
  </si>
  <si>
    <t xml:space="preserve">TXN002351</t>
  </si>
  <si>
    <t xml:space="preserve">TXN002352</t>
  </si>
  <si>
    <t xml:space="preserve">TXN002353</t>
  </si>
  <si>
    <t xml:space="preserve">TXN002354</t>
  </si>
  <si>
    <t xml:space="preserve">TXN002355</t>
  </si>
  <si>
    <t xml:space="preserve">TXN002356</t>
  </si>
  <si>
    <t xml:space="preserve">TXN002357</t>
  </si>
  <si>
    <t xml:space="preserve">TXN002358</t>
  </si>
  <si>
    <t xml:space="preserve">TXN002359</t>
  </si>
  <si>
    <t xml:space="preserve">TXN002360</t>
  </si>
  <si>
    <t xml:space="preserve">TXN002361</t>
  </si>
  <si>
    <t xml:space="preserve">TXN002362</t>
  </si>
  <si>
    <t xml:space="preserve">LN00219</t>
  </si>
  <si>
    <t xml:space="preserve">TXN002363</t>
  </si>
  <si>
    <t xml:space="preserve">CUST0573</t>
  </si>
  <si>
    <t xml:space="preserve">TXN002364</t>
  </si>
  <si>
    <t xml:space="preserve">TXN002365</t>
  </si>
  <si>
    <t xml:space="preserve">TXN002366</t>
  </si>
  <si>
    <t xml:space="preserve">TXN002367</t>
  </si>
  <si>
    <t xml:space="preserve">TXN002368</t>
  </si>
  <si>
    <t xml:space="preserve">TXN002369</t>
  </si>
  <si>
    <t xml:space="preserve">TXN002370</t>
  </si>
  <si>
    <t xml:space="preserve">TXN002371</t>
  </si>
  <si>
    <t xml:space="preserve">TXN002372</t>
  </si>
  <si>
    <t xml:space="preserve">TXN002373</t>
  </si>
  <si>
    <t xml:space="preserve">TXN002374</t>
  </si>
  <si>
    <t xml:space="preserve">TXN002375</t>
  </si>
  <si>
    <t xml:space="preserve">TXN002376</t>
  </si>
  <si>
    <t xml:space="preserve">TXN002377</t>
  </si>
  <si>
    <t xml:space="preserve">TXN002378</t>
  </si>
  <si>
    <t xml:space="preserve">CUST0699</t>
  </si>
  <si>
    <t xml:space="preserve">TXN002379</t>
  </si>
  <si>
    <t xml:space="preserve">TXN002380</t>
  </si>
  <si>
    <t xml:space="preserve">TXN002381</t>
  </si>
  <si>
    <t xml:space="preserve">TXN002382</t>
  </si>
  <si>
    <t xml:space="preserve">TXN002383</t>
  </si>
  <si>
    <t xml:space="preserve">TXN002384</t>
  </si>
  <si>
    <t xml:space="preserve">LN00727</t>
  </si>
  <si>
    <t xml:space="preserve">TXN002385</t>
  </si>
  <si>
    <t xml:space="preserve">TXN002386</t>
  </si>
  <si>
    <t xml:space="preserve">TXN002387</t>
  </si>
  <si>
    <t xml:space="preserve">TXN002388</t>
  </si>
  <si>
    <t xml:space="preserve">TXN002389</t>
  </si>
  <si>
    <t xml:space="preserve">TXN002390</t>
  </si>
  <si>
    <t xml:space="preserve">TXN002391</t>
  </si>
  <si>
    <t xml:space="preserve">LN00505</t>
  </si>
  <si>
    <t xml:space="preserve">TXN002392</t>
  </si>
  <si>
    <t xml:space="preserve">TXN002393</t>
  </si>
  <si>
    <t xml:space="preserve">TXN002394</t>
  </si>
  <si>
    <t xml:space="preserve">TXN002395</t>
  </si>
  <si>
    <t xml:space="preserve">TXN002396</t>
  </si>
  <si>
    <t xml:space="preserve">TXN002397</t>
  </si>
  <si>
    <t xml:space="preserve">CUST0292</t>
  </si>
  <si>
    <t xml:space="preserve">TXN002398</t>
  </si>
  <si>
    <t xml:space="preserve">TXN002399</t>
  </si>
  <si>
    <t xml:space="preserve">TXN002400</t>
  </si>
  <si>
    <t xml:space="preserve">TXN002401</t>
  </si>
  <si>
    <t xml:space="preserve">TXN002402</t>
  </si>
  <si>
    <t xml:space="preserve">TXN002403</t>
  </si>
  <si>
    <t xml:space="preserve">TXN002404</t>
  </si>
  <si>
    <t xml:space="preserve">TXN002405</t>
  </si>
  <si>
    <t xml:space="preserve">TXN002406</t>
  </si>
  <si>
    <t xml:space="preserve">TXN002407</t>
  </si>
  <si>
    <t xml:space="preserve">TXN002408</t>
  </si>
  <si>
    <t xml:space="preserve">LN00987</t>
  </si>
  <si>
    <t xml:space="preserve">TXN002409</t>
  </si>
  <si>
    <t xml:space="preserve">TXN002410</t>
  </si>
  <si>
    <t xml:space="preserve">TXN002411</t>
  </si>
  <si>
    <t xml:space="preserve">TXN002412</t>
  </si>
  <si>
    <t xml:space="preserve">TXN002413</t>
  </si>
  <si>
    <t xml:space="preserve">TXN002414</t>
  </si>
  <si>
    <t xml:space="preserve">TXN002415</t>
  </si>
  <si>
    <t xml:space="preserve">TXN002416</t>
  </si>
  <si>
    <t xml:space="preserve">TXN002417</t>
  </si>
  <si>
    <t xml:space="preserve">TXN002418</t>
  </si>
  <si>
    <t xml:space="preserve">TXN002419</t>
  </si>
  <si>
    <t xml:space="preserve">TXN002420</t>
  </si>
  <si>
    <t xml:space="preserve">TXN002421</t>
  </si>
  <si>
    <t xml:space="preserve">TXN002422</t>
  </si>
  <si>
    <t xml:space="preserve">TXN002423</t>
  </si>
  <si>
    <t xml:space="preserve">TXN002424</t>
  </si>
  <si>
    <t xml:space="preserve">TXN002425</t>
  </si>
  <si>
    <t xml:space="preserve">TXN002426</t>
  </si>
  <si>
    <t xml:space="preserve">TXN002427</t>
  </si>
  <si>
    <t xml:space="preserve">TXN002428</t>
  </si>
  <si>
    <t xml:space="preserve">LN00495</t>
  </si>
  <si>
    <t xml:space="preserve">TXN002429</t>
  </si>
  <si>
    <t xml:space="preserve">TXN002430</t>
  </si>
  <si>
    <t xml:space="preserve">TXN002431</t>
  </si>
  <si>
    <t xml:space="preserve">TXN002432</t>
  </si>
  <si>
    <t xml:space="preserve">TXN002433</t>
  </si>
  <si>
    <t xml:space="preserve">TXN002434</t>
  </si>
  <si>
    <t xml:space="preserve">TXN002435</t>
  </si>
  <si>
    <t xml:space="preserve">TXN002436</t>
  </si>
  <si>
    <t xml:space="preserve">TXN002437</t>
  </si>
  <si>
    <t xml:space="preserve">TXN002438</t>
  </si>
  <si>
    <t xml:space="preserve">TXN002439</t>
  </si>
  <si>
    <t xml:space="preserve">CUST0479</t>
  </si>
  <si>
    <t xml:space="preserve">LN00169</t>
  </si>
  <si>
    <t xml:space="preserve">TXN002440</t>
  </si>
  <si>
    <t xml:space="preserve">TXN002441</t>
  </si>
  <si>
    <t xml:space="preserve">TXN002442</t>
  </si>
  <si>
    <t xml:space="preserve">CUST0391</t>
  </si>
  <si>
    <t xml:space="preserve">TXN002443</t>
  </si>
  <si>
    <t xml:space="preserve">TXN002444</t>
  </si>
  <si>
    <t xml:space="preserve">TXN002445</t>
  </si>
  <si>
    <t xml:space="preserve">TXN002446</t>
  </si>
  <si>
    <t xml:space="preserve">TXN002447</t>
  </si>
  <si>
    <t xml:space="preserve">TXN002448</t>
  </si>
  <si>
    <t xml:space="preserve">LN01046</t>
  </si>
  <si>
    <t xml:space="preserve">TXN002449</t>
  </si>
  <si>
    <t xml:space="preserve">TXN002450</t>
  </si>
  <si>
    <t xml:space="preserve">LN00890</t>
  </si>
  <si>
    <t xml:space="preserve">TXN002451</t>
  </si>
  <si>
    <t xml:space="preserve">TXN002452</t>
  </si>
  <si>
    <t xml:space="preserve">TXN002453</t>
  </si>
  <si>
    <t xml:space="preserve">LN00490</t>
  </si>
  <si>
    <t xml:space="preserve">TXN002454</t>
  </si>
  <si>
    <t xml:space="preserve">TXN002455</t>
  </si>
  <si>
    <t xml:space="preserve">TXN002456</t>
  </si>
  <si>
    <t xml:space="preserve">TXN002457</t>
  </si>
  <si>
    <t xml:space="preserve">TXN002458</t>
  </si>
  <si>
    <t xml:space="preserve">TXN002459</t>
  </si>
  <si>
    <t xml:space="preserve">TXN002460</t>
  </si>
  <si>
    <t xml:space="preserve">TXN002461</t>
  </si>
  <si>
    <t xml:space="preserve">TXN002462</t>
  </si>
  <si>
    <t xml:space="preserve">TXN002463</t>
  </si>
  <si>
    <t xml:space="preserve">TXN002464</t>
  </si>
  <si>
    <t xml:space="preserve">TXN002465</t>
  </si>
  <si>
    <t xml:space="preserve">LN00282</t>
  </si>
  <si>
    <t xml:space="preserve">TXN002466</t>
  </si>
  <si>
    <t xml:space="preserve">TXN002467</t>
  </si>
  <si>
    <t xml:space="preserve">TXN002468</t>
  </si>
  <si>
    <t xml:space="preserve">TXN002469</t>
  </si>
  <si>
    <t xml:space="preserve">TXN002470</t>
  </si>
  <si>
    <t xml:space="preserve">TXN002471</t>
  </si>
  <si>
    <t xml:space="preserve">TXN002472</t>
  </si>
  <si>
    <t xml:space="preserve">TXN002473</t>
  </si>
  <si>
    <t xml:space="preserve">TXN002474</t>
  </si>
  <si>
    <t xml:space="preserve">TXN002475</t>
  </si>
  <si>
    <t xml:space="preserve">TXN002476</t>
  </si>
  <si>
    <t xml:space="preserve">TXN002477</t>
  </si>
  <si>
    <t xml:space="preserve">TXN002478</t>
  </si>
  <si>
    <t xml:space="preserve">TXN002479</t>
  </si>
  <si>
    <t xml:space="preserve">TXN002480</t>
  </si>
  <si>
    <t xml:space="preserve">TXN002481</t>
  </si>
  <si>
    <t xml:space="preserve">TXN002482</t>
  </si>
  <si>
    <t xml:space="preserve">TXN002483</t>
  </si>
  <si>
    <t xml:space="preserve">TXN002484</t>
  </si>
  <si>
    <t xml:space="preserve">TXN002485</t>
  </si>
  <si>
    <t xml:space="preserve">TXN002486</t>
  </si>
  <si>
    <t xml:space="preserve">TXN002487</t>
  </si>
  <si>
    <t xml:space="preserve">TXN002488</t>
  </si>
  <si>
    <t xml:space="preserve">TXN002489</t>
  </si>
  <si>
    <t xml:space="preserve">TXN002490</t>
  </si>
  <si>
    <t xml:space="preserve">LN00732</t>
  </si>
  <si>
    <t xml:space="preserve">TXN002491</t>
  </si>
  <si>
    <t xml:space="preserve">TXN002492</t>
  </si>
  <si>
    <t xml:space="preserve">TXN002493</t>
  </si>
  <si>
    <t xml:space="preserve">TXN002494</t>
  </si>
  <si>
    <t xml:space="preserve">CUST0774</t>
  </si>
  <si>
    <t xml:space="preserve">TXN002495</t>
  </si>
  <si>
    <t xml:space="preserve">TXN002496</t>
  </si>
  <si>
    <t xml:space="preserve">TXN002497</t>
  </si>
  <si>
    <t xml:space="preserve">TXN002498</t>
  </si>
  <si>
    <t xml:space="preserve">CUST0462</t>
  </si>
  <si>
    <t xml:space="preserve">TXN002499</t>
  </si>
  <si>
    <t xml:space="preserve">TXN002500</t>
  </si>
  <si>
    <t xml:space="preserve">LN00463</t>
  </si>
  <si>
    <t xml:space="preserve">Branch_ID</t>
  </si>
  <si>
    <t xml:space="preserve">Branch_Type</t>
  </si>
  <si>
    <t xml:space="preserve">BR001</t>
  </si>
  <si>
    <t xml:space="preserve">Metro</t>
  </si>
  <si>
    <t xml:space="preserve">BR002</t>
  </si>
  <si>
    <t xml:space="preserve">Semi-Urban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</si>
  <si>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</si>
  <si>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</si>
  <si>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</si>
  <si>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</si>
  <si>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</si>
  <si>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</si>
  <si>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</si>
  <si>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Urban</t>
  </si>
  <si>
    <t xml:space="preserve">BR010</t>
  </si>
  <si>
    <t xml:space="preserve">BR011</t>
  </si>
  <si>
    <t xml:space="preserve">BR012</t>
  </si>
  <si>
    <t xml:space="preserve">BR013</t>
  </si>
  <si>
    <t xml:space="preserve">BR014</t>
  </si>
  <si>
    <t xml:space="preserve">BR015</t>
  </si>
  <si>
    <t xml:space="preserve">BR016</t>
  </si>
  <si>
    <t xml:space="preserve">BR017</t>
  </si>
  <si>
    <t xml:space="preserve">BR018</t>
  </si>
  <si>
    <t xml:space="preserve">BR019</t>
  </si>
  <si>
    <t xml:space="preserve">BR020</t>
  </si>
  <si>
    <t xml:space="preserve">BR021</t>
  </si>
  <si>
    <t xml:space="preserve">BR022</t>
  </si>
  <si>
    <t xml:space="preserve">BR023</t>
  </si>
  <si>
    <t xml:space="preserve">BR024</t>
  </si>
  <si>
    <t xml:space="preserve">BR025</t>
  </si>
  <si>
    <t xml:space="preserve">BR026</t>
  </si>
  <si>
    <t xml:space="preserve">BR027</t>
  </si>
  <si>
    <t xml:space="preserve">BR028</t>
  </si>
  <si>
    <t xml:space="preserve">BR029</t>
  </si>
  <si>
    <t xml:space="preserve">BR030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</si>
</sst>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\-mmm\-yyyy"/>
    <numFmt numFmtId="166" formatCode="#,##0"/>
    <numFmt numFmtId="167" formatCode="#,##0.00"/>
    <numFmt numFmtId="168" formatCode="\₹#,##0"/>
    <numFmt numFmtId="169" formatCode="0.0%"/>
    <numFmt numFmtId="170" formatCode="mmm\-yy"/>
    <numFmt numFmtId="171" formatCode="0"/>
    <numFmt numFmtId="172" formatCode="#,##0.000000"/>
    <numFmt numFmtId="173" formatCode="0%"/>
    <numFmt numFmtId="174" formatCode="\₹#,##0.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7F7F7F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7365D"/>
      <name val="Arial"/>
      <family val="0"/>
      <charset val="1"/>
    </font>
    <font>
      <b val="true"/>
      <sz val="18"/>
      <color rgb="FF2E86AB"/>
      <name val="Arial"/>
      <family val="0"/>
      <charset val="1"/>
    </font>
    <font>
      <b val="true"/>
      <sz val="18"/>
      <color rgb="FF59A96A"/>
      <name val="Arial"/>
      <family val="0"/>
      <charset val="1"/>
    </font>
    <font>
      <b val="true"/>
      <sz val="18"/>
      <color rgb="FFF6A01A"/>
      <name val="Arial"/>
      <family val="0"/>
      <charset val="1"/>
    </font>
    <font>
      <b val="true"/>
      <sz val="18"/>
      <color rgb="FFE4572E"/>
      <name val="Arial"/>
      <family val="0"/>
      <charset val="1"/>
    </font>
    <font>
      <b val="true"/>
      <sz val="18"/>
      <color rgb="FF8E6C8A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1"/>
      <color rgb="FF7F7F7F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FFF2CC"/>
        <bgColor rgb="FFF3F6FA"/>
      </patternFill>
    </fill>
    <fill>
      <patternFill patternType="solid">
        <fgColor rgb="FF2E86AB"/>
        <bgColor rgb="FF4F81BD"/>
      </patternFill>
    </fill>
    <fill>
      <patternFill patternType="solid">
        <fgColor rgb="FF59A96A"/>
        <bgColor rgb="FF878787"/>
      </patternFill>
    </fill>
    <fill>
      <patternFill patternType="solid">
        <fgColor rgb="FFF6A01A"/>
        <bgColor rgb="FFFFCC00"/>
      </patternFill>
    </fill>
    <fill>
      <patternFill patternType="solid">
        <fgColor rgb="FFE4572E"/>
        <bgColor rgb="FFFF8080"/>
      </patternFill>
    </fill>
    <fill>
      <patternFill patternType="solid">
        <fgColor rgb="FF8E6C8A"/>
        <bgColor rgb="FF7F7F7F"/>
      </patternFill>
    </fill>
    <fill>
      <patternFill patternType="solid">
        <fgColor rgb="FFF3F6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/>
      <bottom style="thin">
        <color rgb="FFD0D7E2"/>
      </bottom>
      <diagonal/>
    </border>
    <border diagonalUp="false" diagonalDown="false">
      <left/>
      <right/>
      <top/>
      <bottom style="medium">
        <color rgb="FF2E86AB"/>
      </bottom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D9D9D9"/>
      <rgbColor rgb="FF7F7F7F"/>
      <rgbColor rgb="FF9999FF"/>
      <rgbColor rgb="FF993366"/>
      <rgbColor rgb="FFFFF2CC"/>
      <rgbColor rgb="FFF3F6FA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6A01A"/>
      <rgbColor rgb="FFE4572E"/>
      <rgbColor rgb="FF8E6C8A"/>
      <rgbColor rgb="FF878787"/>
      <rgbColor rgb="FF17365D"/>
      <rgbColor rgb="FF59A96A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Transaction Volume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"Volume"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2e86ab"/>
            </a:solidFill>
            <a:ln w="28080">
              <a:solidFill>
                <a:srgbClr val="2e86ab"/>
              </a:solidFill>
              <a:round/>
            </a:ln>
          </c:spPr>
          <c:marker>
            <c:symbol val="circle"/>
            <c:size val="5"/>
            <c:spPr>
              <a:solidFill>
                <a:srgbClr val="2e86a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Module4_Transaction!$C$62:$C$82</c:f>
              <c:strCache>
                <c:ptCount val="21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</c:strCache>
            </c:strRef>
          </c:cat>
          <c:val>
            <c:numRef>
              <c:f>Module4_Transaction!$E$62:$E$82</c:f>
              <c:numCache>
                <c:formatCode>#,##0.00</c:formatCode>
                <c:ptCount val="21"/>
                <c:pt idx="0">
                  <c:v>151.9798007</c:v>
                </c:pt>
                <c:pt idx="1">
                  <c:v>110.3246323</c:v>
                </c:pt>
                <c:pt idx="2">
                  <c:v>126.4089403</c:v>
                </c:pt>
                <c:pt idx="3">
                  <c:v>106.9326635</c:v>
                </c:pt>
                <c:pt idx="4">
                  <c:v>141.7705439</c:v>
                </c:pt>
                <c:pt idx="5">
                  <c:v>125.393554</c:v>
                </c:pt>
                <c:pt idx="6">
                  <c:v>129.0650134</c:v>
                </c:pt>
                <c:pt idx="7">
                  <c:v>117.4192799</c:v>
                </c:pt>
                <c:pt idx="8">
                  <c:v>105.7287317</c:v>
                </c:pt>
                <c:pt idx="9">
                  <c:v>134.9224843</c:v>
                </c:pt>
                <c:pt idx="10">
                  <c:v>92.9287706</c:v>
                </c:pt>
                <c:pt idx="11">
                  <c:v>128.4355668</c:v>
                </c:pt>
                <c:pt idx="12">
                  <c:v>126.6878068</c:v>
                </c:pt>
                <c:pt idx="13">
                  <c:v>90.2597466</c:v>
                </c:pt>
                <c:pt idx="14">
                  <c:v>121.3735699</c:v>
                </c:pt>
                <c:pt idx="15">
                  <c:v>105.3607685</c:v>
                </c:pt>
                <c:pt idx="16">
                  <c:v>105.4241144</c:v>
                </c:pt>
                <c:pt idx="17">
                  <c:v>117.1413842</c:v>
                </c:pt>
                <c:pt idx="18">
                  <c:v>111.5113785</c:v>
                </c:pt>
                <c:pt idx="19">
                  <c:v>126.6112154</c:v>
                </c:pt>
                <c:pt idx="20">
                  <c:v>108.3174521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079501"/>
        <c:axId val="67694474"/>
      </c:lineChart>
      <c:catAx>
        <c:axId val="890795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94474"/>
        <c:crosses val="autoZero"/>
        <c:auto val="1"/>
        <c:lblAlgn val="ctr"/>
        <c:lblOffset val="100"/>
        <c:noMultiLvlLbl val="0"/>
      </c:catAx>
      <c:valAx>
        <c:axId val="67694474"/>
        <c:scaling>
          <c:orientation val="minMax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795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Volume by Transaction Type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"Volume"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2e86ab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Module4_Transaction!$B$87:$B$93</c:f>
              <c:strCache>
                <c:ptCount val="7"/>
                <c:pt idx="0">
                  <c:v>ATM</c:v>
                </c:pt>
                <c:pt idx="1">
                  <c:v>Card</c:v>
                </c:pt>
                <c:pt idx="2">
                  <c:v>Cash Deposit</c:v>
                </c:pt>
                <c:pt idx="3">
                  <c:v>Cash Withdrawal</c:v>
                </c:pt>
                <c:pt idx="4">
                  <c:v>IMPS</c:v>
                </c:pt>
                <c:pt idx="5">
                  <c:v>NEFT</c:v>
                </c:pt>
                <c:pt idx="6">
                  <c:v>UPI</c:v>
                </c:pt>
              </c:strCache>
            </c:strRef>
          </c:cat>
          <c:val>
            <c:numRef>
              <c:f>Module4_Transaction!$D$87:$D$93</c:f>
              <c:numCache>
                <c:formatCode>#,##0.00</c:formatCode>
                <c:ptCount val="7"/>
                <c:pt idx="0">
                  <c:v>368.8317309</c:v>
                </c:pt>
                <c:pt idx="1">
                  <c:v>333.133873</c:v>
                </c:pt>
                <c:pt idx="2">
                  <c:v>321.0778862</c:v>
                </c:pt>
                <c:pt idx="3">
                  <c:v>375.0432102</c:v>
                </c:pt>
                <c:pt idx="4">
                  <c:v>379.7141685</c:v>
                </c:pt>
                <c:pt idx="5">
                  <c:v>349.2881332</c:v>
                </c:pt>
                <c:pt idx="6">
                  <c:v>356.9084158</c:v>
                </c:pt>
              </c:numCache>
            </c:numRef>
          </c:val>
        </c:ser>
        <c:gapWidth val="60"/>
        <c:overlap val="0"/>
        <c:axId val="95004383"/>
        <c:axId val="68466158"/>
      </c:barChart>
      <c:catAx>
        <c:axId val="9500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66158"/>
        <c:crosses val="autoZero"/>
        <c:auto val="1"/>
        <c:lblAlgn val="ctr"/>
        <c:lblOffset val="100"/>
        <c:noMultiLvlLbl val="0"/>
      </c:catAx>
      <c:valAx>
        <c:axId val="6846615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043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Transactions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"Transactions by Channel"</c:f>
              <c:strCache>
                <c:ptCount val="1"/>
                <c:pt idx="0">
                  <c:v>Transactions by Channel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7365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86ab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a01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4572e"/>
              </a:solidFill>
              <a:ln w="0">
                <a:noFill/>
              </a:ln>
            </c:spPr>
          </c:dPt>
          <c:dPt>
            <c:idx val="4"/>
            <c:spPr>
              <a:solidFill>
                <a:srgbClr val="59a96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Module4_Transaction!$B$98:$B$102</c:f>
              <c:strCache>
                <c:ptCount val="5"/>
                <c:pt idx="0">
                  <c:v>ATM</c:v>
                </c:pt>
                <c:pt idx="1">
                  <c:v>Branch</c:v>
                </c:pt>
                <c:pt idx="2">
                  <c:v>Internet Banking</c:v>
                </c:pt>
                <c:pt idx="3">
                  <c:v>Mobile App</c:v>
                </c:pt>
                <c:pt idx="4">
                  <c:v>POS</c:v>
                </c:pt>
              </c:strCache>
            </c:strRef>
          </c:cat>
          <c:val>
            <c:numRef>
              <c:f>Module4_Transaction!$C$98:$C$102</c:f>
              <c:numCache>
                <c:formatCode>#,##0</c:formatCode>
                <c:ptCount val="5"/>
                <c:pt idx="0">
                  <c:v>466</c:v>
                </c:pt>
                <c:pt idx="1">
                  <c:v>531</c:v>
                </c:pt>
                <c:pt idx="2">
                  <c:v>508</c:v>
                </c:pt>
                <c:pt idx="3">
                  <c:v>506</c:v>
                </c:pt>
                <c:pt idx="4">
                  <c:v>489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Transaction Status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"Transaction Status Mix"</c:f>
              <c:strCache>
                <c:ptCount val="1"/>
                <c:pt idx="0">
                  <c:v>Transaction Status Mix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7365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86ab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6a01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Module4_Transaction!$J$62:$J$64</c:f>
              <c:strCache>
                <c:ptCount val="3"/>
                <c:pt idx="0">
                  <c:v>Success</c:v>
                </c:pt>
                <c:pt idx="1">
                  <c:v>Failed</c:v>
                </c:pt>
                <c:pt idx="2">
                  <c:v>Pending</c:v>
                </c:pt>
              </c:strCache>
            </c:strRef>
          </c:cat>
          <c:val>
            <c:numRef>
              <c:f>Module4_Transaction!$K$62:$K$64</c:f>
              <c:numCache>
                <c:formatCode>#,##0</c:formatCode>
                <c:ptCount val="3"/>
                <c:pt idx="0">
                  <c:v>2211</c:v>
                </c:pt>
                <c:pt idx="1">
                  <c:v>197</c:v>
                </c:pt>
                <c:pt idx="2">
                  <c:v>92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Volume by City (₹ Lakh)  [Year filter]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"Volume"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f6a01a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Module4_Transaction!$J$75:$J$84</c:f>
              <c:strCache>
                <c:ptCount val="10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Jaipur</c:v>
                </c:pt>
                <c:pt idx="5">
                  <c:v>Kolkata</c:v>
                </c:pt>
                <c:pt idx="6">
                  <c:v>Lucknow</c:v>
                </c:pt>
                <c:pt idx="7">
                  <c:v>Mumbai</c:v>
                </c:pt>
                <c:pt idx="8">
                  <c:v>Noida</c:v>
                </c:pt>
                <c:pt idx="9">
                  <c:v>Pune</c:v>
                </c:pt>
              </c:strCache>
            </c:strRef>
          </c:cat>
          <c:val>
            <c:numRef>
              <c:f>Module4_Transaction!$L$75:$L$84</c:f>
              <c:numCache>
                <c:formatCode>#,##0.00</c:formatCode>
                <c:ptCount val="10"/>
                <c:pt idx="0">
                  <c:v>281.5022956</c:v>
                </c:pt>
                <c:pt idx="1">
                  <c:v>225.5312081</c:v>
                </c:pt>
                <c:pt idx="2">
                  <c:v>222.7021086</c:v>
                </c:pt>
                <c:pt idx="3">
                  <c:v>187.3971945</c:v>
                </c:pt>
                <c:pt idx="4">
                  <c:v>307.2600944</c:v>
                </c:pt>
                <c:pt idx="5">
                  <c:v>248.291197</c:v>
                </c:pt>
                <c:pt idx="6">
                  <c:v>241.1911355</c:v>
                </c:pt>
                <c:pt idx="7">
                  <c:v>266.8572878</c:v>
                </c:pt>
                <c:pt idx="8">
                  <c:v>271.3277268</c:v>
                </c:pt>
                <c:pt idx="9">
                  <c:v>231.9371695</c:v>
                </c:pt>
              </c:numCache>
            </c:numRef>
          </c:val>
        </c:ser>
        <c:gapWidth val="60"/>
        <c:overlap val="0"/>
        <c:axId val="80851564"/>
        <c:axId val="28606078"/>
      </c:barChart>
      <c:catAx>
        <c:axId val="8085156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06078"/>
        <c:crosses val="autoZero"/>
        <c:auto val="1"/>
        <c:lblAlgn val="ctr"/>
        <c:lblOffset val="100"/>
        <c:noMultiLvlLbl val="0"/>
      </c:catAx>
      <c:valAx>
        <c:axId val="2860607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515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Success Rate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"Success %"</c:f>
              <c:strCache>
                <c:ptCount val="1"/>
                <c:pt idx="0">
                  <c:v>Success %</c:v>
                </c:pt>
              </c:strCache>
            </c:strRef>
          </c:tx>
          <c:spPr>
            <a:solidFill>
              <a:srgbClr val="59a96a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Module4_Transaction!$B$98:$B$102</c:f>
              <c:strCache>
                <c:ptCount val="5"/>
                <c:pt idx="0">
                  <c:v>ATM</c:v>
                </c:pt>
                <c:pt idx="1">
                  <c:v>Branch</c:v>
                </c:pt>
                <c:pt idx="2">
                  <c:v>Internet Banking</c:v>
                </c:pt>
                <c:pt idx="3">
                  <c:v>Mobile App</c:v>
                </c:pt>
                <c:pt idx="4">
                  <c:v>POS</c:v>
                </c:pt>
              </c:strCache>
            </c:strRef>
          </c:cat>
          <c:val>
            <c:numRef>
              <c:f>Module4_Transaction!$F$98:$F$102</c:f>
              <c:numCache>
                <c:formatCode>0.0%</c:formatCode>
                <c:ptCount val="5"/>
                <c:pt idx="0">
                  <c:v>0.886266094420601</c:v>
                </c:pt>
                <c:pt idx="1">
                  <c:v>0.887005649717514</c:v>
                </c:pt>
                <c:pt idx="2">
                  <c:v>0.877952755905512</c:v>
                </c:pt>
                <c:pt idx="3">
                  <c:v>0.881422924901186</c:v>
                </c:pt>
                <c:pt idx="4">
                  <c:v>0.889570552147239</c:v>
                </c:pt>
              </c:numCache>
            </c:numRef>
          </c:val>
        </c:ser>
        <c:gapWidth val="60"/>
        <c:overlap val="0"/>
        <c:axId val="48772366"/>
        <c:axId val="19990340"/>
      </c:barChart>
      <c:catAx>
        <c:axId val="487723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90340"/>
        <c:crosses val="autoZero"/>
        <c:auto val="1"/>
        <c:lblAlgn val="ctr"/>
        <c:lblOffset val="100"/>
        <c:noMultiLvlLbl val="0"/>
      </c:catAx>
      <c:valAx>
        <c:axId val="1999034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723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7</xdr:col>
      <xdr:colOff>579600</xdr:colOff>
      <xdr:row>23</xdr:row>
      <xdr:rowOff>32400</xdr:rowOff>
    </xdr:to>
    <xdr:graphicFrame>
      <xdr:nvGraphicFramePr>
        <xdr:cNvPr id="0" name="Chart 1"/>
        <xdr:cNvGraphicFramePr/>
      </xdr:nvGraphicFramePr>
      <xdr:xfrm>
        <a:off x="141120" y="1752480"/>
        <a:ext cx="5867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9</xdr:row>
      <xdr:rowOff>0</xdr:rowOff>
    </xdr:from>
    <xdr:to>
      <xdr:col>14</xdr:col>
      <xdr:colOff>579600</xdr:colOff>
      <xdr:row>23</xdr:row>
      <xdr:rowOff>32400</xdr:rowOff>
    </xdr:to>
    <xdr:graphicFrame>
      <xdr:nvGraphicFramePr>
        <xdr:cNvPr id="1" name="Chart 2"/>
        <xdr:cNvGraphicFramePr/>
      </xdr:nvGraphicFramePr>
      <xdr:xfrm>
        <a:off x="6310800" y="1752480"/>
        <a:ext cx="5867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7</xdr:col>
      <xdr:colOff>579600</xdr:colOff>
      <xdr:row>39</xdr:row>
      <xdr:rowOff>32760</xdr:rowOff>
    </xdr:to>
    <xdr:graphicFrame>
      <xdr:nvGraphicFramePr>
        <xdr:cNvPr id="2" name="Chart 3"/>
        <xdr:cNvGraphicFramePr/>
      </xdr:nvGraphicFramePr>
      <xdr:xfrm>
        <a:off x="141120" y="4800600"/>
        <a:ext cx="5867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25</xdr:row>
      <xdr:rowOff>0</xdr:rowOff>
    </xdr:from>
    <xdr:to>
      <xdr:col>14</xdr:col>
      <xdr:colOff>579600</xdr:colOff>
      <xdr:row>39</xdr:row>
      <xdr:rowOff>32760</xdr:rowOff>
    </xdr:to>
    <xdr:graphicFrame>
      <xdr:nvGraphicFramePr>
        <xdr:cNvPr id="3" name="Chart 4"/>
        <xdr:cNvGraphicFramePr/>
      </xdr:nvGraphicFramePr>
      <xdr:xfrm>
        <a:off x="6310800" y="4800600"/>
        <a:ext cx="5867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7</xdr:col>
      <xdr:colOff>579600</xdr:colOff>
      <xdr:row>55</xdr:row>
      <xdr:rowOff>32760</xdr:rowOff>
    </xdr:to>
    <xdr:graphicFrame>
      <xdr:nvGraphicFramePr>
        <xdr:cNvPr id="4" name="Chart 5"/>
        <xdr:cNvGraphicFramePr/>
      </xdr:nvGraphicFramePr>
      <xdr:xfrm>
        <a:off x="141120" y="7848720"/>
        <a:ext cx="5867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41</xdr:row>
      <xdr:rowOff>0</xdr:rowOff>
    </xdr:from>
    <xdr:to>
      <xdr:col>14</xdr:col>
      <xdr:colOff>579600</xdr:colOff>
      <xdr:row>55</xdr:row>
      <xdr:rowOff>32760</xdr:rowOff>
    </xdr:to>
    <xdr:graphicFrame>
      <xdr:nvGraphicFramePr>
        <xdr:cNvPr id="5" name="Chart 6"/>
        <xdr:cNvGraphicFramePr/>
      </xdr:nvGraphicFramePr>
      <xdr:xfrm>
        <a:off x="6310800" y="7848720"/>
        <a:ext cx="5867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ranchTable" displayName="BranchTable" ref="A1:D31" headerRowCount="1" totalsRowCount="0" totalsRowShown="0">
  <autoFilter ref="A1:D31"/>
  <tableColumns count="4">
    <tableColumn id="1" name="Branch_ID"/>
    <tableColumn id="2" name="City"/>
    <tableColumn id="3" name="Branch"/>
    <tableColumn id="4" name="Branch_Type"/>
  </tableColumns>
</table>
</file>

<file path=xl/tables/table2.xml><?xml version="1.0" encoding="utf-8"?>
<table xmlns="http://schemas.openxmlformats.org/spreadsheetml/2006/main" id="2" name="TransactionTable" displayName="TransactionTable" ref="A1:K2501" headerRowCount="1" totalsRowCount="0" totalsRowShown="0">
  <autoFilter ref="A1:K2501"/>
  <tableColumns count="11">
    <tableColumn id="1" name="Transaction_ID"/>
    <tableColumn id="2" name="Customer_ID"/>
    <tableColumn id="3" name="Loan_ID"/>
    <tableColumn id="4" name="Transaction_Date"/>
    <tableColumn id="5" name="Transaction_Type"/>
    <tableColumn id="6" name="Amount_INR"/>
    <tableColumn id="7" name="Channel"/>
    <tableColumn id="8" name="City"/>
    <tableColumn id="9" name="Branch"/>
    <tableColumn id="10" name="Transaction_Status"/>
    <tableColumn id="11" name="Geograph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B1:S1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6" min="2" style="0" width="12.5"/>
    <col collapsed="false" customWidth="true" hidden="false" outlineLevel="0" max="17" min="17" style="0" width="3"/>
    <col collapsed="false" customWidth="true" hidden="false" outlineLevel="0" max="18" min="18" style="0" width="22"/>
    <col collapsed="false" customWidth="true" hidden="false" outlineLevel="0" max="19" min="19" style="0" width="14"/>
  </cols>
  <sheetData>
    <row r="1" customFormat="false" ht="15" hidden="false" customHeight="fals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R3" s="3" t="s">
        <v>2</v>
      </c>
    </row>
    <row r="4" customFormat="false" ht="15" hidden="false" customHeight="false" outlineLevel="0" collapsed="false">
      <c r="B4" s="4" t="s">
        <v>3</v>
      </c>
      <c r="C4" s="5" t="s">
        <v>4</v>
      </c>
      <c r="D4" s="5"/>
      <c r="E4" s="4" t="s">
        <v>5</v>
      </c>
      <c r="F4" s="5" t="s">
        <v>4</v>
      </c>
      <c r="G4" s="5"/>
      <c r="H4" s="6" t="s">
        <v>6</v>
      </c>
      <c r="R4" s="7" t="s">
        <v>7</v>
      </c>
      <c r="S4" s="7" t="str">
        <f aca="false">IF($C$4="All","*",$C$4)</f>
        <v>*</v>
      </c>
    </row>
    <row r="5" customFormat="false" ht="15" hidden="false" customHeight="false" outlineLevel="0" collapsed="false">
      <c r="R5" s="7" t="s">
        <v>8</v>
      </c>
      <c r="S5" s="8" t="n">
        <f aca="false">IF($F$4="All",DATE(2000,1,1),DATE($F$4,1,1))</f>
        <v>36526</v>
      </c>
    </row>
    <row r="6" customFormat="false" ht="18" hidden="false" customHeight="true" outlineLevel="0" collapsed="false">
      <c r="B6" s="9" t="s">
        <v>9</v>
      </c>
      <c r="C6" s="9"/>
      <c r="D6" s="10" t="s">
        <v>10</v>
      </c>
      <c r="E6" s="10"/>
      <c r="F6" s="11" t="s">
        <v>11</v>
      </c>
      <c r="G6" s="11"/>
      <c r="H6" s="12" t="s">
        <v>12</v>
      </c>
      <c r="I6" s="12"/>
      <c r="J6" s="13" t="s">
        <v>13</v>
      </c>
      <c r="K6" s="13"/>
      <c r="L6" s="14" t="s">
        <v>14</v>
      </c>
      <c r="M6" s="14"/>
      <c r="N6" s="9" t="s">
        <v>15</v>
      </c>
      <c r="O6" s="9"/>
      <c r="R6" s="7" t="s">
        <v>16</v>
      </c>
      <c r="S6" s="8" t="n">
        <f aca="false">IF($F$4="All",DATE(2100,1,1),DATE($F$4+1,1,1))</f>
        <v>73051</v>
      </c>
    </row>
    <row r="7" customFormat="false" ht="15" hidden="false" customHeight="false" outlineLevel="0" collapsed="false">
      <c r="B7" s="15" t="n">
        <f aca="false">COUNTIFS(Transaction_Data!$D$2:$D$5000,"&gt;="&amp;$S$5,Transaction_Data!$D$2:$D$5000,"&lt;"&amp;$S$6,Transaction_Data!$H$2:$H$5000,$S$4)</f>
        <v>2500</v>
      </c>
      <c r="C7" s="15"/>
      <c r="D7" s="16" t="n">
        <f aca="false">SUMIFS(Transaction_Data!$F$2:$F$5000,Transaction_Data!$D$2:$D$5000,"&gt;="&amp;$S$5,Transaction_Data!$D$2:$D$5000,"&lt;"&amp;$S$6,Transaction_Data!$H$2:$H$5000,$S$4)/10000000</f>
        <v>24.839974178</v>
      </c>
      <c r="E7" s="16"/>
      <c r="F7" s="17" t="n">
        <f aca="false">IFERROR(SUMIFS(Transaction_Data!$F$2:$F$5000,Transaction_Data!$D$2:$D$5000,"&gt;="&amp;$S$5,Transaction_Data!$D$2:$D$5000,"&lt;"&amp;$S$6,Transaction_Data!$H$2:$H$5000,$S$4)/COUNTIFS(Transaction_Data!$D$2:$D$5000,"&gt;="&amp;$S$5,Transaction_Data!$D$2:$D$5000,"&lt;"&amp;$S$6,Transaction_Data!$H$2:$H$5000,$S$4),0)</f>
        <v>99359.896712</v>
      </c>
      <c r="G7" s="17"/>
      <c r="H7" s="18" t="n">
        <f aca="false">IFERROR(COUNTIFS(Transaction_Data!$D$2:$D$5000,"&gt;="&amp;$S$5,Transaction_Data!$D$2:$D$5000,"&lt;"&amp;$S$6,Transaction_Data!$H$2:$H$5000,$S$4,Transaction_Data!$J$2:$J$5000,"Success")/COUNTIFS(Transaction_Data!$D$2:$D$5000,"&gt;="&amp;$S$5,Transaction_Data!$D$2:$D$5000,"&lt;"&amp;$S$6,Transaction_Data!$H$2:$H$5000,$S$4),0)</f>
        <v>0.8844</v>
      </c>
      <c r="I7" s="18"/>
      <c r="J7" s="19" t="n">
        <f aca="false">IFERROR(COUNTIFS(Transaction_Data!$D$2:$D$5000,"&gt;="&amp;$S$5,Transaction_Data!$D$2:$D$5000,"&lt;"&amp;$S$6,Transaction_Data!$H$2:$H$5000,$S$4,Transaction_Data!$J$2:$J$5000,"Failed")/COUNTIFS(Transaction_Data!$D$2:$D$5000,"&gt;="&amp;$S$5,Transaction_Data!$D$2:$D$5000,"&lt;"&amp;$S$6,Transaction_Data!$H$2:$H$5000,$S$4),0)</f>
        <v>0.0788</v>
      </c>
      <c r="K7" s="19"/>
      <c r="L7" s="20" t="n">
        <f aca="false">IFERROR(COUNTIFS(Transaction_Data!$D$2:$D$5000,"&gt;="&amp;$S$5,Transaction_Data!$D$2:$D$5000,"&lt;"&amp;$S$6,Transaction_Data!$H$2:$H$5000,$S$4,Transaction_Data!$J$2:$J$5000,"Pending")/COUNTIFS(Transaction_Data!$D$2:$D$5000,"&gt;="&amp;$S$5,Transaction_Data!$D$2:$D$5000,"&lt;"&amp;$S$6,Transaction_Data!$H$2:$H$5000,$S$4),0)</f>
        <v>0.0368</v>
      </c>
      <c r="M7" s="20"/>
      <c r="N7" s="21" t="n">
        <f aca="false">IFERROR(COUNTIFS(Transaction_Data!$D$2:$D$5000,"&gt;="&amp;$S$5,Transaction_Data!$D$2:$D$5000,"&lt;"&amp;$S$6,Transaction_Data!$H$2:$H$5000,$S$4,Transaction_Data!$K$2:$K$5000,"International")/COUNTIFS(Transaction_Data!$D$2:$D$5000,"&gt;="&amp;$S$5,Transaction_Data!$D$2:$D$5000,"&lt;"&amp;$S$6,Transaction_Data!$H$2:$H$5000,$S$4),0)</f>
        <v>0.4972</v>
      </c>
      <c r="O7" s="21"/>
    </row>
    <row r="8" customFormat="false" ht="15" hidden="false" customHeight="false" outlineLevel="0" collapsed="false">
      <c r="B8" s="15"/>
      <c r="C8" s="15"/>
      <c r="D8" s="16"/>
      <c r="E8" s="16"/>
      <c r="F8" s="17"/>
      <c r="G8" s="17"/>
      <c r="H8" s="18"/>
      <c r="I8" s="18"/>
      <c r="J8" s="19"/>
      <c r="K8" s="19"/>
      <c r="L8" s="20"/>
      <c r="M8" s="20"/>
      <c r="N8" s="21"/>
      <c r="O8" s="21"/>
    </row>
    <row r="58" customFormat="false" ht="15" hidden="false" customHeight="false" outlineLevel="0" collapsed="false">
      <c r="B58" s="22" t="s">
        <v>17</v>
      </c>
    </row>
    <row r="59" customFormat="false" ht="15" hidden="false" customHeight="false" outlineLevel="0" collapsed="false">
      <c r="B59" s="23" t="s">
        <v>18</v>
      </c>
    </row>
    <row r="60" customFormat="false" ht="15" hidden="false" customHeight="false" outlineLevel="0" collapsed="false">
      <c r="B60" s="24" t="s">
        <v>19</v>
      </c>
      <c r="C60" s="25"/>
      <c r="D60" s="25"/>
      <c r="E60" s="25"/>
      <c r="F60" s="25"/>
      <c r="J60" s="24" t="s">
        <v>20</v>
      </c>
      <c r="K60" s="25"/>
      <c r="L60" s="25"/>
      <c r="M60" s="25"/>
    </row>
    <row r="61" customFormat="false" ht="25.5" hidden="false" customHeight="true" outlineLevel="0" collapsed="false">
      <c r="B61" s="26" t="s">
        <v>21</v>
      </c>
      <c r="C61" s="26" t="s">
        <v>22</v>
      </c>
      <c r="D61" s="26" t="s">
        <v>23</v>
      </c>
      <c r="E61" s="26" t="s">
        <v>24</v>
      </c>
      <c r="F61" s="26" t="s">
        <v>25</v>
      </c>
      <c r="J61" s="26" t="s">
        <v>26</v>
      </c>
      <c r="K61" s="26" t="s">
        <v>23</v>
      </c>
      <c r="L61" s="26" t="s">
        <v>27</v>
      </c>
      <c r="M61" s="26" t="s">
        <v>24</v>
      </c>
    </row>
    <row r="62" customFormat="false" ht="15" hidden="false" customHeight="false" outlineLevel="0" collapsed="false">
      <c r="B62" s="27" t="n">
        <v>45658</v>
      </c>
      <c r="C62" s="28" t="str">
        <f aca="false">TEXT(B62,"mmm-yy")</f>
        <v>Jan-25</v>
      </c>
      <c r="D62" s="29" t="n">
        <f aca="false">COUNTIFS(Transaction_Data!$D$2:$D$5000,"&gt;="&amp;$B62,Transaction_Data!$D$2:$D$5000,"&lt;"&amp;EDATE($B62,1),Transaction_Data!$H$2:$H$5000,$S$4)</f>
        <v>144</v>
      </c>
      <c r="E62" s="30" t="n">
        <f aca="false">SUMIFS(Transaction_Data!$F$2:$F$5000,Transaction_Data!$D$2:$D$5000,"&gt;="&amp;$B62,Transaction_Data!$D$2:$D$5000,"&lt;"&amp;EDATE($B62,1),Transaction_Data!$H$2:$H$5000,$S$4)/100000</f>
        <v>151.9798007</v>
      </c>
      <c r="F62" s="31" t="n">
        <f aca="false">IFERROR(COUNTIFS(Transaction_Data!$D$2:$D$5000,"&gt;="&amp;$B62,Transaction_Data!$D$2:$D$5000,"&lt;"&amp;EDATE($B62,1),Transaction_Data!$H$2:$H$5000,$S$4,Transaction_Data!$J$2:$J$5000,"Success")/D62,0)</f>
        <v>0.875</v>
      </c>
      <c r="J62" s="32" t="s">
        <v>28</v>
      </c>
      <c r="K62" s="29" t="n">
        <f aca="false">COUNTIFS(Transaction_Data!$D$2:$D$5000,"&gt;="&amp;$S$5,Transaction_Data!$D$2:$D$5000,"&lt;"&amp;$S$6,Transaction_Data!$H$2:$H$5000,$S$4,Transaction_Data!$J$2:$J$5000,$J62)</f>
        <v>2211</v>
      </c>
      <c r="L62" s="31" t="n">
        <f aca="false">IFERROR(K62/COUNTIFS(Transaction_Data!$D$2:$D$5000,"&gt;="&amp;$S$5,Transaction_Data!$D$2:$D$5000,"&lt;"&amp;$S$6,Transaction_Data!$H$2:$H$5000,$S$4),0)</f>
        <v>0.8844</v>
      </c>
      <c r="M62" s="30" t="n">
        <f aca="false">SUMIFS(Transaction_Data!$F$2:$F$5000,Transaction_Data!$D$2:$D$5000,"&gt;="&amp;$S$5,Transaction_Data!$D$2:$D$5000,"&lt;"&amp;$S$6,Transaction_Data!$H$2:$H$5000,$S$4,Transaction_Data!$J$2:$J$5000,$J62)/100000</f>
        <v>2196.6543629</v>
      </c>
    </row>
    <row r="63" customFormat="false" ht="15" hidden="false" customHeight="false" outlineLevel="0" collapsed="false">
      <c r="B63" s="33" t="n">
        <v>45689</v>
      </c>
      <c r="C63" s="34" t="str">
        <f aca="false">TEXT(B63,"mmm-yy")</f>
        <v>Feb-25</v>
      </c>
      <c r="D63" s="35" t="n">
        <f aca="false">COUNTIFS(Transaction_Data!$D$2:$D$5000,"&gt;="&amp;$B63,Transaction_Data!$D$2:$D$5000,"&lt;"&amp;EDATE($B63,1),Transaction_Data!$H$2:$H$5000,$S$4)</f>
        <v>108</v>
      </c>
      <c r="E63" s="36" t="n">
        <f aca="false">SUMIFS(Transaction_Data!$F$2:$F$5000,Transaction_Data!$D$2:$D$5000,"&gt;="&amp;$B63,Transaction_Data!$D$2:$D$5000,"&lt;"&amp;EDATE($B63,1),Transaction_Data!$H$2:$H$5000,$S$4)/100000</f>
        <v>110.3246323</v>
      </c>
      <c r="F63" s="37" t="n">
        <f aca="false">IFERROR(COUNTIFS(Transaction_Data!$D$2:$D$5000,"&gt;="&amp;$B63,Transaction_Data!$D$2:$D$5000,"&lt;"&amp;EDATE($B63,1),Transaction_Data!$H$2:$H$5000,$S$4,Transaction_Data!$J$2:$J$5000,"Success")/D63,0)</f>
        <v>0.898148148148148</v>
      </c>
      <c r="J63" s="38" t="s">
        <v>29</v>
      </c>
      <c r="K63" s="35" t="n">
        <f aca="false">COUNTIFS(Transaction_Data!$D$2:$D$5000,"&gt;="&amp;$S$5,Transaction_Data!$D$2:$D$5000,"&lt;"&amp;$S$6,Transaction_Data!$H$2:$H$5000,$S$4,Transaction_Data!$J$2:$J$5000,$J63)</f>
        <v>197</v>
      </c>
      <c r="L63" s="37" t="n">
        <f aca="false">IFERROR(K63/COUNTIFS(Transaction_Data!$D$2:$D$5000,"&gt;="&amp;$S$5,Transaction_Data!$D$2:$D$5000,"&lt;"&amp;$S$6,Transaction_Data!$H$2:$H$5000,$S$4),0)</f>
        <v>0.0788</v>
      </c>
      <c r="M63" s="36" t="n">
        <f aca="false">SUMIFS(Transaction_Data!$F$2:$F$5000,Transaction_Data!$D$2:$D$5000,"&gt;="&amp;$S$5,Transaction_Data!$D$2:$D$5000,"&lt;"&amp;$S$6,Transaction_Data!$H$2:$H$5000,$S$4,Transaction_Data!$J$2:$J$5000,$J63)/100000</f>
        <v>186.2235493</v>
      </c>
    </row>
    <row r="64" customFormat="false" ht="15" hidden="false" customHeight="false" outlineLevel="0" collapsed="false">
      <c r="B64" s="27" t="n">
        <v>45717</v>
      </c>
      <c r="C64" s="28" t="str">
        <f aca="false">TEXT(B64,"mmm-yy")</f>
        <v>Mar-25</v>
      </c>
      <c r="D64" s="29" t="n">
        <f aca="false">COUNTIFS(Transaction_Data!$D$2:$D$5000,"&gt;="&amp;$B64,Transaction_Data!$D$2:$D$5000,"&lt;"&amp;EDATE($B64,1),Transaction_Data!$H$2:$H$5000,$S$4)</f>
        <v>127</v>
      </c>
      <c r="E64" s="30" t="n">
        <f aca="false">SUMIFS(Transaction_Data!$F$2:$F$5000,Transaction_Data!$D$2:$D$5000,"&gt;="&amp;$B64,Transaction_Data!$D$2:$D$5000,"&lt;"&amp;EDATE($B64,1),Transaction_Data!$H$2:$H$5000,$S$4)/100000</f>
        <v>126.4089403</v>
      </c>
      <c r="F64" s="31" t="n">
        <f aca="false">IFERROR(COUNTIFS(Transaction_Data!$D$2:$D$5000,"&gt;="&amp;$B64,Transaction_Data!$D$2:$D$5000,"&lt;"&amp;EDATE($B64,1),Transaction_Data!$H$2:$H$5000,$S$4,Transaction_Data!$J$2:$J$5000,"Success")/D64,0)</f>
        <v>0.929133858267717</v>
      </c>
      <c r="J64" s="32" t="s">
        <v>30</v>
      </c>
      <c r="K64" s="29" t="n">
        <f aca="false">COUNTIFS(Transaction_Data!$D$2:$D$5000,"&gt;="&amp;$S$5,Transaction_Data!$D$2:$D$5000,"&lt;"&amp;$S$6,Transaction_Data!$H$2:$H$5000,$S$4,Transaction_Data!$J$2:$J$5000,$J64)</f>
        <v>92</v>
      </c>
      <c r="L64" s="31" t="n">
        <f aca="false">IFERROR(K64/COUNTIFS(Transaction_Data!$D$2:$D$5000,"&gt;="&amp;$S$5,Transaction_Data!$D$2:$D$5000,"&lt;"&amp;$S$6,Transaction_Data!$H$2:$H$5000,$S$4),0)</f>
        <v>0.0368</v>
      </c>
      <c r="M64" s="30" t="n">
        <f aca="false">SUMIFS(Transaction_Data!$F$2:$F$5000,Transaction_Data!$D$2:$D$5000,"&gt;="&amp;$S$5,Transaction_Data!$D$2:$D$5000,"&lt;"&amp;$S$6,Transaction_Data!$H$2:$H$5000,$S$4,Transaction_Data!$J$2:$J$5000,$J64)/100000</f>
        <v>101.1195056</v>
      </c>
    </row>
    <row r="65" customFormat="false" ht="15" hidden="false" customHeight="false" outlineLevel="0" collapsed="false">
      <c r="B65" s="33" t="n">
        <v>45748</v>
      </c>
      <c r="C65" s="34" t="str">
        <f aca="false">TEXT(B65,"mmm-yy")</f>
        <v>Apr-25</v>
      </c>
      <c r="D65" s="35" t="n">
        <f aca="false">COUNTIFS(Transaction_Data!$D$2:$D$5000,"&gt;="&amp;$B65,Transaction_Data!$D$2:$D$5000,"&lt;"&amp;EDATE($B65,1),Transaction_Data!$H$2:$H$5000,$S$4)</f>
        <v>104</v>
      </c>
      <c r="E65" s="36" t="n">
        <f aca="false">SUMIFS(Transaction_Data!$F$2:$F$5000,Transaction_Data!$D$2:$D$5000,"&gt;="&amp;$B65,Transaction_Data!$D$2:$D$5000,"&lt;"&amp;EDATE($B65,1),Transaction_Data!$H$2:$H$5000,$S$4)/100000</f>
        <v>106.9326635</v>
      </c>
      <c r="F65" s="37" t="n">
        <f aca="false">IFERROR(COUNTIFS(Transaction_Data!$D$2:$D$5000,"&gt;="&amp;$B65,Transaction_Data!$D$2:$D$5000,"&lt;"&amp;EDATE($B65,1),Transaction_Data!$H$2:$H$5000,$S$4,Transaction_Data!$J$2:$J$5000,"Success")/D65,0)</f>
        <v>0.932692307692308</v>
      </c>
    </row>
    <row r="66" customFormat="false" ht="15" hidden="false" customHeight="false" outlineLevel="0" collapsed="false">
      <c r="B66" s="27" t="n">
        <v>45778</v>
      </c>
      <c r="C66" s="28" t="str">
        <f aca="false">TEXT(B66,"mmm-yy")</f>
        <v>May-25</v>
      </c>
      <c r="D66" s="29" t="n">
        <f aca="false">COUNTIFS(Transaction_Data!$D$2:$D$5000,"&gt;="&amp;$B66,Transaction_Data!$D$2:$D$5000,"&lt;"&amp;EDATE($B66,1),Transaction_Data!$H$2:$H$5000,$S$4)</f>
        <v>143</v>
      </c>
      <c r="E66" s="30" t="n">
        <f aca="false">SUMIFS(Transaction_Data!$F$2:$F$5000,Transaction_Data!$D$2:$D$5000,"&gt;="&amp;$B66,Transaction_Data!$D$2:$D$5000,"&lt;"&amp;EDATE($B66,1),Transaction_Data!$H$2:$H$5000,$S$4)/100000</f>
        <v>141.7705439</v>
      </c>
      <c r="F66" s="31" t="n">
        <f aca="false">IFERROR(COUNTIFS(Transaction_Data!$D$2:$D$5000,"&gt;="&amp;$B66,Transaction_Data!$D$2:$D$5000,"&lt;"&amp;EDATE($B66,1),Transaction_Data!$H$2:$H$5000,$S$4,Transaction_Data!$J$2:$J$5000,"Success")/D66,0)</f>
        <v>0.818181818181818</v>
      </c>
    </row>
    <row r="67" customFormat="false" ht="15" hidden="false" customHeight="false" outlineLevel="0" collapsed="false">
      <c r="B67" s="33" t="n">
        <v>45809</v>
      </c>
      <c r="C67" s="34" t="str">
        <f aca="false">TEXT(B67,"mmm-yy")</f>
        <v>Jun-25</v>
      </c>
      <c r="D67" s="35" t="n">
        <f aca="false">COUNTIFS(Transaction_Data!$D$2:$D$5000,"&gt;="&amp;$B67,Transaction_Data!$D$2:$D$5000,"&lt;"&amp;EDATE($B67,1),Transaction_Data!$H$2:$H$5000,$S$4)</f>
        <v>124</v>
      </c>
      <c r="E67" s="36" t="n">
        <f aca="false">SUMIFS(Transaction_Data!$F$2:$F$5000,Transaction_Data!$D$2:$D$5000,"&gt;="&amp;$B67,Transaction_Data!$D$2:$D$5000,"&lt;"&amp;EDATE($B67,1),Transaction_Data!$H$2:$H$5000,$S$4)/100000</f>
        <v>125.393554</v>
      </c>
      <c r="F67" s="37" t="n">
        <f aca="false">IFERROR(COUNTIFS(Transaction_Data!$D$2:$D$5000,"&gt;="&amp;$B67,Transaction_Data!$D$2:$D$5000,"&lt;"&amp;EDATE($B67,1),Transaction_Data!$H$2:$H$5000,$S$4,Transaction_Data!$J$2:$J$5000,"Success")/D67,0)</f>
        <v>0.887096774193548</v>
      </c>
      <c r="J67" s="24" t="s">
        <v>31</v>
      </c>
      <c r="K67" s="25"/>
      <c r="L67" s="25"/>
      <c r="M67" s="25"/>
    </row>
    <row r="68" customFormat="false" ht="25.5" hidden="false" customHeight="true" outlineLevel="0" collapsed="false">
      <c r="B68" s="27" t="n">
        <v>45839</v>
      </c>
      <c r="C68" s="28" t="str">
        <f aca="false">TEXT(B68,"mmm-yy")</f>
        <v>Jul-25</v>
      </c>
      <c r="D68" s="29" t="n">
        <f aca="false">COUNTIFS(Transaction_Data!$D$2:$D$5000,"&gt;="&amp;$B68,Transaction_Data!$D$2:$D$5000,"&lt;"&amp;EDATE($B68,1),Transaction_Data!$H$2:$H$5000,$S$4)</f>
        <v>124</v>
      </c>
      <c r="E68" s="30" t="n">
        <f aca="false">SUMIFS(Transaction_Data!$F$2:$F$5000,Transaction_Data!$D$2:$D$5000,"&gt;="&amp;$B68,Transaction_Data!$D$2:$D$5000,"&lt;"&amp;EDATE($B68,1),Transaction_Data!$H$2:$H$5000,$S$4)/100000</f>
        <v>129.0650134</v>
      </c>
      <c r="F68" s="31" t="n">
        <f aca="false">IFERROR(COUNTIFS(Transaction_Data!$D$2:$D$5000,"&gt;="&amp;$B68,Transaction_Data!$D$2:$D$5000,"&lt;"&amp;EDATE($B68,1),Transaction_Data!$H$2:$H$5000,$S$4,Transaction_Data!$J$2:$J$5000,"Success")/D68,0)</f>
        <v>0.854838709677419</v>
      </c>
      <c r="J68" s="26" t="s">
        <v>32</v>
      </c>
      <c r="K68" s="26" t="s">
        <v>23</v>
      </c>
      <c r="L68" s="26" t="s">
        <v>27</v>
      </c>
      <c r="M68" s="26" t="s">
        <v>24</v>
      </c>
    </row>
    <row r="69" customFormat="false" ht="15" hidden="false" customHeight="false" outlineLevel="0" collapsed="false">
      <c r="B69" s="33" t="n">
        <v>45870</v>
      </c>
      <c r="C69" s="34" t="str">
        <f aca="false">TEXT(B69,"mmm-yy")</f>
        <v>Aug-25</v>
      </c>
      <c r="D69" s="35" t="n">
        <f aca="false">COUNTIFS(Transaction_Data!$D$2:$D$5000,"&gt;="&amp;$B69,Transaction_Data!$D$2:$D$5000,"&lt;"&amp;EDATE($B69,1),Transaction_Data!$H$2:$H$5000,$S$4)</f>
        <v>119</v>
      </c>
      <c r="E69" s="36" t="n">
        <f aca="false">SUMIFS(Transaction_Data!$F$2:$F$5000,Transaction_Data!$D$2:$D$5000,"&gt;="&amp;$B69,Transaction_Data!$D$2:$D$5000,"&lt;"&amp;EDATE($B69,1),Transaction_Data!$H$2:$H$5000,$S$4)/100000</f>
        <v>117.4192799</v>
      </c>
      <c r="F69" s="37" t="n">
        <f aca="false">IFERROR(COUNTIFS(Transaction_Data!$D$2:$D$5000,"&gt;="&amp;$B69,Transaction_Data!$D$2:$D$5000,"&lt;"&amp;EDATE($B69,1),Transaction_Data!$H$2:$H$5000,$S$4,Transaction_Data!$J$2:$J$5000,"Success")/D69,0)</f>
        <v>0.857142857142857</v>
      </c>
      <c r="J69" s="32" t="s">
        <v>33</v>
      </c>
      <c r="K69" s="29" t="n">
        <f aca="false">COUNTIFS(Transaction_Data!$D$2:$D$5000,"&gt;="&amp;$S$5,Transaction_Data!$D$2:$D$5000,"&lt;"&amp;$S$6,Transaction_Data!$H$2:$H$5000,$S$4,Transaction_Data!$K$2:$K$5000,$J69)</f>
        <v>1257</v>
      </c>
      <c r="L69" s="31" t="n">
        <f aca="false">IFERROR(K69/COUNTIFS(Transaction_Data!$D$2:$D$5000,"&gt;="&amp;$S$5,Transaction_Data!$D$2:$D$5000,"&lt;"&amp;$S$6,Transaction_Data!$H$2:$H$5000,$S$4),0)</f>
        <v>0.5028</v>
      </c>
      <c r="M69" s="30" t="n">
        <f aca="false">SUMIFS(Transaction_Data!$F$2:$F$5000,Transaction_Data!$D$2:$D$5000,"&gt;="&amp;$S$5,Transaction_Data!$D$2:$D$5000,"&lt;"&amp;$S$6,Transaction_Data!$H$2:$H$5000,$S$4,Transaction_Data!$K$2:$K$5000,$J69)/100000</f>
        <v>1253.031568</v>
      </c>
    </row>
    <row r="70" customFormat="false" ht="15" hidden="false" customHeight="false" outlineLevel="0" collapsed="false">
      <c r="B70" s="27" t="n">
        <v>45901</v>
      </c>
      <c r="C70" s="28" t="str">
        <f aca="false">TEXT(B70,"mmm-yy")</f>
        <v>Sep-25</v>
      </c>
      <c r="D70" s="29" t="n">
        <f aca="false">COUNTIFS(Transaction_Data!$D$2:$D$5000,"&gt;="&amp;$B70,Transaction_Data!$D$2:$D$5000,"&lt;"&amp;EDATE($B70,1),Transaction_Data!$H$2:$H$5000,$S$4)</f>
        <v>114</v>
      </c>
      <c r="E70" s="30" t="n">
        <f aca="false">SUMIFS(Transaction_Data!$F$2:$F$5000,Transaction_Data!$D$2:$D$5000,"&gt;="&amp;$B70,Transaction_Data!$D$2:$D$5000,"&lt;"&amp;EDATE($B70,1),Transaction_Data!$H$2:$H$5000,$S$4)/100000</f>
        <v>105.7287317</v>
      </c>
      <c r="F70" s="31" t="n">
        <f aca="false">IFERROR(COUNTIFS(Transaction_Data!$D$2:$D$5000,"&gt;="&amp;$B70,Transaction_Data!$D$2:$D$5000,"&lt;"&amp;EDATE($B70,1),Transaction_Data!$H$2:$H$5000,$S$4,Transaction_Data!$J$2:$J$5000,"Success")/D70,0)</f>
        <v>0.903508771929825</v>
      </c>
      <c r="J70" s="38" t="s">
        <v>34</v>
      </c>
      <c r="K70" s="35" t="n">
        <f aca="false">COUNTIFS(Transaction_Data!$D$2:$D$5000,"&gt;="&amp;$S$5,Transaction_Data!$D$2:$D$5000,"&lt;"&amp;$S$6,Transaction_Data!$H$2:$H$5000,$S$4,Transaction_Data!$K$2:$K$5000,$J70)</f>
        <v>1243</v>
      </c>
      <c r="L70" s="37" t="n">
        <f aca="false">IFERROR(K70/COUNTIFS(Transaction_Data!$D$2:$D$5000,"&gt;="&amp;$S$5,Transaction_Data!$D$2:$D$5000,"&lt;"&amp;$S$6,Transaction_Data!$H$2:$H$5000,$S$4),0)</f>
        <v>0.4972</v>
      </c>
      <c r="M70" s="36" t="n">
        <f aca="false">SUMIFS(Transaction_Data!$F$2:$F$5000,Transaction_Data!$D$2:$D$5000,"&gt;="&amp;$S$5,Transaction_Data!$D$2:$D$5000,"&lt;"&amp;$S$6,Transaction_Data!$H$2:$H$5000,$S$4,Transaction_Data!$K$2:$K$5000,$J70)/100000</f>
        <v>1230.9658498</v>
      </c>
    </row>
    <row r="71" customFormat="false" ht="15" hidden="false" customHeight="false" outlineLevel="0" collapsed="false">
      <c r="B71" s="33" t="n">
        <v>45931</v>
      </c>
      <c r="C71" s="34" t="str">
        <f aca="false">TEXT(B71,"mmm-yy")</f>
        <v>Oct-25</v>
      </c>
      <c r="D71" s="35" t="n">
        <f aca="false">COUNTIFS(Transaction_Data!$D$2:$D$5000,"&gt;="&amp;$B71,Transaction_Data!$D$2:$D$5000,"&lt;"&amp;EDATE($B71,1),Transaction_Data!$H$2:$H$5000,$S$4)</f>
        <v>131</v>
      </c>
      <c r="E71" s="36" t="n">
        <f aca="false">SUMIFS(Transaction_Data!$F$2:$F$5000,Transaction_Data!$D$2:$D$5000,"&gt;="&amp;$B71,Transaction_Data!$D$2:$D$5000,"&lt;"&amp;EDATE($B71,1),Transaction_Data!$H$2:$H$5000,$S$4)/100000</f>
        <v>134.9224843</v>
      </c>
      <c r="F71" s="37" t="n">
        <f aca="false">IFERROR(COUNTIFS(Transaction_Data!$D$2:$D$5000,"&gt;="&amp;$B71,Transaction_Data!$D$2:$D$5000,"&lt;"&amp;EDATE($B71,1),Transaction_Data!$H$2:$H$5000,$S$4,Transaction_Data!$J$2:$J$5000,"Success")/D71,0)</f>
        <v>0.854961832061069</v>
      </c>
    </row>
    <row r="72" customFormat="false" ht="15" hidden="false" customHeight="false" outlineLevel="0" collapsed="false">
      <c r="B72" s="27" t="n">
        <v>45962</v>
      </c>
      <c r="C72" s="28" t="str">
        <f aca="false">TEXT(B72,"mmm-yy")</f>
        <v>Nov-25</v>
      </c>
      <c r="D72" s="29" t="n">
        <f aca="false">COUNTIFS(Transaction_Data!$D$2:$D$5000,"&gt;="&amp;$B72,Transaction_Data!$D$2:$D$5000,"&lt;"&amp;EDATE($B72,1),Transaction_Data!$H$2:$H$5000,$S$4)</f>
        <v>105</v>
      </c>
      <c r="E72" s="30" t="n">
        <f aca="false">SUMIFS(Transaction_Data!$F$2:$F$5000,Transaction_Data!$D$2:$D$5000,"&gt;="&amp;$B72,Transaction_Data!$D$2:$D$5000,"&lt;"&amp;EDATE($B72,1),Transaction_Data!$H$2:$H$5000,$S$4)/100000</f>
        <v>92.9287706</v>
      </c>
      <c r="F72" s="31" t="n">
        <f aca="false">IFERROR(COUNTIFS(Transaction_Data!$D$2:$D$5000,"&gt;="&amp;$B72,Transaction_Data!$D$2:$D$5000,"&lt;"&amp;EDATE($B72,1),Transaction_Data!$H$2:$H$5000,$S$4,Transaction_Data!$J$2:$J$5000,"Success")/D72,0)</f>
        <v>0.895238095238095</v>
      </c>
    </row>
    <row r="73" customFormat="false" ht="15" hidden="false" customHeight="false" outlineLevel="0" collapsed="false">
      <c r="B73" s="33" t="n">
        <v>45992</v>
      </c>
      <c r="C73" s="34" t="str">
        <f aca="false">TEXT(B73,"mmm-yy")</f>
        <v>Dec-25</v>
      </c>
      <c r="D73" s="35" t="n">
        <f aca="false">COUNTIFS(Transaction_Data!$D$2:$D$5000,"&gt;="&amp;$B73,Transaction_Data!$D$2:$D$5000,"&lt;"&amp;EDATE($B73,1),Transaction_Data!$H$2:$H$5000,$S$4)</f>
        <v>129</v>
      </c>
      <c r="E73" s="36" t="n">
        <f aca="false">SUMIFS(Transaction_Data!$F$2:$F$5000,Transaction_Data!$D$2:$D$5000,"&gt;="&amp;$B73,Transaction_Data!$D$2:$D$5000,"&lt;"&amp;EDATE($B73,1),Transaction_Data!$H$2:$H$5000,$S$4)/100000</f>
        <v>128.4355668</v>
      </c>
      <c r="F73" s="37" t="n">
        <f aca="false">IFERROR(COUNTIFS(Transaction_Data!$D$2:$D$5000,"&gt;="&amp;$B73,Transaction_Data!$D$2:$D$5000,"&lt;"&amp;EDATE($B73,1),Transaction_Data!$H$2:$H$5000,$S$4,Transaction_Data!$J$2:$J$5000,"Success")/D73,0)</f>
        <v>0.806201550387597</v>
      </c>
      <c r="J73" s="24" t="s">
        <v>35</v>
      </c>
      <c r="K73" s="25"/>
      <c r="L73" s="25"/>
      <c r="M73" s="25"/>
      <c r="N73" s="25"/>
    </row>
    <row r="74" customFormat="false" ht="25.5" hidden="false" customHeight="true" outlineLevel="0" collapsed="false">
      <c r="B74" s="27" t="n">
        <v>46023</v>
      </c>
      <c r="C74" s="28" t="str">
        <f aca="false">TEXT(B74,"mmm-yy")</f>
        <v>Jan-26</v>
      </c>
      <c r="D74" s="29" t="n">
        <f aca="false">COUNTIFS(Transaction_Data!$D$2:$D$5000,"&gt;="&amp;$B74,Transaction_Data!$D$2:$D$5000,"&lt;"&amp;EDATE($B74,1),Transaction_Data!$H$2:$H$5000,$S$4)</f>
        <v>131</v>
      </c>
      <c r="E74" s="30" t="n">
        <f aca="false">SUMIFS(Transaction_Data!$F$2:$F$5000,Transaction_Data!$D$2:$D$5000,"&gt;="&amp;$B74,Transaction_Data!$D$2:$D$5000,"&lt;"&amp;EDATE($B74,1),Transaction_Data!$H$2:$H$5000,$S$4)/100000</f>
        <v>126.6878068</v>
      </c>
      <c r="F74" s="31" t="n">
        <f aca="false">IFERROR(COUNTIFS(Transaction_Data!$D$2:$D$5000,"&gt;="&amp;$B74,Transaction_Data!$D$2:$D$5000,"&lt;"&amp;EDATE($B74,1),Transaction_Data!$H$2:$H$5000,$S$4,Transaction_Data!$J$2:$J$5000,"Success")/D74,0)</f>
        <v>0.916030534351145</v>
      </c>
      <c r="J74" s="26" t="s">
        <v>36</v>
      </c>
      <c r="K74" s="26" t="s">
        <v>23</v>
      </c>
      <c r="L74" s="26" t="s">
        <v>24</v>
      </c>
      <c r="M74" s="26" t="s">
        <v>37</v>
      </c>
      <c r="N74" s="26" t="s">
        <v>38</v>
      </c>
    </row>
    <row r="75" customFormat="false" ht="15" hidden="false" customHeight="false" outlineLevel="0" collapsed="false">
      <c r="B75" s="33" t="n">
        <v>46054</v>
      </c>
      <c r="C75" s="34" t="str">
        <f aca="false">TEXT(B75,"mmm-yy")</f>
        <v>Feb-26</v>
      </c>
      <c r="D75" s="35" t="n">
        <f aca="false">COUNTIFS(Transaction_Data!$D$2:$D$5000,"&gt;="&amp;$B75,Transaction_Data!$D$2:$D$5000,"&lt;"&amp;EDATE($B75,1),Transaction_Data!$H$2:$H$5000,$S$4)</f>
        <v>88</v>
      </c>
      <c r="E75" s="36" t="n">
        <f aca="false">SUMIFS(Transaction_Data!$F$2:$F$5000,Transaction_Data!$D$2:$D$5000,"&gt;="&amp;$B75,Transaction_Data!$D$2:$D$5000,"&lt;"&amp;EDATE($B75,1),Transaction_Data!$H$2:$H$5000,$S$4)/100000</f>
        <v>90.2597466</v>
      </c>
      <c r="F75" s="37" t="n">
        <f aca="false">IFERROR(COUNTIFS(Transaction_Data!$D$2:$D$5000,"&gt;="&amp;$B75,Transaction_Data!$D$2:$D$5000,"&lt;"&amp;EDATE($B75,1),Transaction_Data!$H$2:$H$5000,$S$4,Transaction_Data!$J$2:$J$5000,"Success")/D75,0)</f>
        <v>0.875</v>
      </c>
      <c r="J75" s="32" t="s">
        <v>39</v>
      </c>
      <c r="K75" s="29" t="n">
        <f aca="false">COUNTIFS(Transaction_Data!$D$2:$D$5000,"&gt;="&amp;$S$5,Transaction_Data!$D$2:$D$5000,"&lt;"&amp;$S$6,Transaction_Data!$H$2:$H$5000,$J75)</f>
        <v>283</v>
      </c>
      <c r="L75" s="30" t="n">
        <f aca="false">SUMIFS(Transaction_Data!$F$2:$F$5000,Transaction_Data!$D$2:$D$5000,"&gt;="&amp;$S$5,Transaction_Data!$D$2:$D$5000,"&lt;"&amp;$S$6,Transaction_Data!$H$2:$H$5000,$J75)/100000</f>
        <v>281.5022956</v>
      </c>
      <c r="M75" s="39" t="n">
        <f aca="false">IFERROR(L75*100000/K75,0)</f>
        <v>99470.7758303887</v>
      </c>
      <c r="N75" s="31" t="n">
        <f aca="false">IFERROR(COUNTIFS(Transaction_Data!$D$2:$D$5000,"&gt;="&amp;$S$5,Transaction_Data!$D$2:$D$5000,"&lt;"&amp;$S$6,Transaction_Data!$H$2:$H$5000,$J75,Transaction_Data!$J$2:$J$5000,"Success")/K75,0)</f>
        <v>0.886925795053004</v>
      </c>
    </row>
    <row r="76" customFormat="false" ht="15" hidden="false" customHeight="false" outlineLevel="0" collapsed="false">
      <c r="B76" s="27" t="n">
        <v>46082</v>
      </c>
      <c r="C76" s="28" t="str">
        <f aca="false">TEXT(B76,"mmm-yy")</f>
        <v>Mar-26</v>
      </c>
      <c r="D76" s="29" t="n">
        <f aca="false">COUNTIFS(Transaction_Data!$D$2:$D$5000,"&gt;="&amp;$B76,Transaction_Data!$D$2:$D$5000,"&lt;"&amp;EDATE($B76,1),Transaction_Data!$H$2:$H$5000,$S$4)</f>
        <v>121</v>
      </c>
      <c r="E76" s="30" t="n">
        <f aca="false">SUMIFS(Transaction_Data!$F$2:$F$5000,Transaction_Data!$D$2:$D$5000,"&gt;="&amp;$B76,Transaction_Data!$D$2:$D$5000,"&lt;"&amp;EDATE($B76,1),Transaction_Data!$H$2:$H$5000,$S$4)/100000</f>
        <v>121.3735699</v>
      </c>
      <c r="F76" s="31" t="n">
        <f aca="false">IFERROR(COUNTIFS(Transaction_Data!$D$2:$D$5000,"&gt;="&amp;$B76,Transaction_Data!$D$2:$D$5000,"&lt;"&amp;EDATE($B76,1),Transaction_Data!$H$2:$H$5000,$S$4,Transaction_Data!$J$2:$J$5000,"Success")/D76,0)</f>
        <v>0.884297520661157</v>
      </c>
      <c r="J76" s="38" t="s">
        <v>40</v>
      </c>
      <c r="K76" s="35" t="n">
        <f aca="false">COUNTIFS(Transaction_Data!$D$2:$D$5000,"&gt;="&amp;$S$5,Transaction_Data!$D$2:$D$5000,"&lt;"&amp;$S$6,Transaction_Data!$H$2:$H$5000,$J76)</f>
        <v>225</v>
      </c>
      <c r="L76" s="36" t="n">
        <f aca="false">SUMIFS(Transaction_Data!$F$2:$F$5000,Transaction_Data!$D$2:$D$5000,"&gt;="&amp;$S$5,Transaction_Data!$D$2:$D$5000,"&lt;"&amp;$S$6,Transaction_Data!$H$2:$H$5000,$J76)/100000</f>
        <v>225.5312081</v>
      </c>
      <c r="M76" s="40" t="n">
        <f aca="false">IFERROR(L76*100000/K76,0)</f>
        <v>100236.092488889</v>
      </c>
      <c r="N76" s="37" t="n">
        <f aca="false">IFERROR(COUNTIFS(Transaction_Data!$D$2:$D$5000,"&gt;="&amp;$S$5,Transaction_Data!$D$2:$D$5000,"&lt;"&amp;$S$6,Transaction_Data!$H$2:$H$5000,$J76,Transaction_Data!$J$2:$J$5000,"Success")/K76,0)</f>
        <v>0.897777777777778</v>
      </c>
    </row>
    <row r="77" customFormat="false" ht="15" hidden="false" customHeight="false" outlineLevel="0" collapsed="false">
      <c r="B77" s="33" t="n">
        <v>46113</v>
      </c>
      <c r="C77" s="34" t="str">
        <f aca="false">TEXT(B77,"mmm-yy")</f>
        <v>Apr-26</v>
      </c>
      <c r="D77" s="35" t="n">
        <f aca="false">COUNTIFS(Transaction_Data!$D$2:$D$5000,"&gt;="&amp;$B77,Transaction_Data!$D$2:$D$5000,"&lt;"&amp;EDATE($B77,1),Transaction_Data!$H$2:$H$5000,$S$4)</f>
        <v>107</v>
      </c>
      <c r="E77" s="36" t="n">
        <f aca="false">SUMIFS(Transaction_Data!$F$2:$F$5000,Transaction_Data!$D$2:$D$5000,"&gt;="&amp;$B77,Transaction_Data!$D$2:$D$5000,"&lt;"&amp;EDATE($B77,1),Transaction_Data!$H$2:$H$5000,$S$4)/100000</f>
        <v>105.3607685</v>
      </c>
      <c r="F77" s="37" t="n">
        <f aca="false">IFERROR(COUNTIFS(Transaction_Data!$D$2:$D$5000,"&gt;="&amp;$B77,Transaction_Data!$D$2:$D$5000,"&lt;"&amp;EDATE($B77,1),Transaction_Data!$H$2:$H$5000,$S$4,Transaction_Data!$J$2:$J$5000,"Success")/D77,0)</f>
        <v>0.906542056074766</v>
      </c>
      <c r="J77" s="32" t="s">
        <v>41</v>
      </c>
      <c r="K77" s="29" t="n">
        <f aca="false">COUNTIFS(Transaction_Data!$D$2:$D$5000,"&gt;="&amp;$S$5,Transaction_Data!$D$2:$D$5000,"&lt;"&amp;$S$6,Transaction_Data!$H$2:$H$5000,$J77)</f>
        <v>203</v>
      </c>
      <c r="L77" s="30" t="n">
        <f aca="false">SUMIFS(Transaction_Data!$F$2:$F$5000,Transaction_Data!$D$2:$D$5000,"&gt;="&amp;$S$5,Transaction_Data!$D$2:$D$5000,"&lt;"&amp;$S$6,Transaction_Data!$H$2:$H$5000,$J77)/100000</f>
        <v>222.7021086</v>
      </c>
      <c r="M77" s="39" t="n">
        <f aca="false">IFERROR(L77*100000/K77,0)</f>
        <v>109705.472216749</v>
      </c>
      <c r="N77" s="31" t="n">
        <f aca="false">IFERROR(COUNTIFS(Transaction_Data!$D$2:$D$5000,"&gt;="&amp;$S$5,Transaction_Data!$D$2:$D$5000,"&lt;"&amp;$S$6,Transaction_Data!$H$2:$H$5000,$J77,Transaction_Data!$J$2:$J$5000,"Success")/K77,0)</f>
        <v>0.876847290640394</v>
      </c>
    </row>
    <row r="78" customFormat="false" ht="15" hidden="false" customHeight="false" outlineLevel="0" collapsed="false">
      <c r="B78" s="27" t="n">
        <v>46143</v>
      </c>
      <c r="C78" s="28" t="str">
        <f aca="false">TEXT(B78,"mmm-yy")</f>
        <v>May-26</v>
      </c>
      <c r="D78" s="29" t="n">
        <f aca="false">COUNTIFS(Transaction_Data!$D$2:$D$5000,"&gt;="&amp;$B78,Transaction_Data!$D$2:$D$5000,"&lt;"&amp;EDATE($B78,1),Transaction_Data!$H$2:$H$5000,$S$4)</f>
        <v>116</v>
      </c>
      <c r="E78" s="30" t="n">
        <f aca="false">SUMIFS(Transaction_Data!$F$2:$F$5000,Transaction_Data!$D$2:$D$5000,"&gt;="&amp;$B78,Transaction_Data!$D$2:$D$5000,"&lt;"&amp;EDATE($B78,1),Transaction_Data!$H$2:$H$5000,$S$4)/100000</f>
        <v>105.4241144</v>
      </c>
      <c r="F78" s="31" t="n">
        <f aca="false">IFERROR(COUNTIFS(Transaction_Data!$D$2:$D$5000,"&gt;="&amp;$B78,Transaction_Data!$D$2:$D$5000,"&lt;"&amp;EDATE($B78,1),Transaction_Data!$H$2:$H$5000,$S$4,Transaction_Data!$J$2:$J$5000,"Success")/D78,0)</f>
        <v>0.913793103448276</v>
      </c>
      <c r="J78" s="38" t="s">
        <v>42</v>
      </c>
      <c r="K78" s="35" t="n">
        <f aca="false">COUNTIFS(Transaction_Data!$D$2:$D$5000,"&gt;="&amp;$S$5,Transaction_Data!$D$2:$D$5000,"&lt;"&amp;$S$6,Transaction_Data!$H$2:$H$5000,$J78)</f>
        <v>202</v>
      </c>
      <c r="L78" s="36" t="n">
        <f aca="false">SUMIFS(Transaction_Data!$F$2:$F$5000,Transaction_Data!$D$2:$D$5000,"&gt;="&amp;$S$5,Transaction_Data!$D$2:$D$5000,"&lt;"&amp;$S$6,Transaction_Data!$H$2:$H$5000,$J78)/100000</f>
        <v>187.3971945</v>
      </c>
      <c r="M78" s="40" t="n">
        <f aca="false">IFERROR(L78*100000/K78,0)</f>
        <v>92770.8883663366</v>
      </c>
      <c r="N78" s="37" t="n">
        <f aca="false">IFERROR(COUNTIFS(Transaction_Data!$D$2:$D$5000,"&gt;="&amp;$S$5,Transaction_Data!$D$2:$D$5000,"&lt;"&amp;$S$6,Transaction_Data!$H$2:$H$5000,$J78,Transaction_Data!$J$2:$J$5000,"Success")/K78,0)</f>
        <v>0.896039603960396</v>
      </c>
    </row>
    <row r="79" customFormat="false" ht="15" hidden="false" customHeight="false" outlineLevel="0" collapsed="false">
      <c r="B79" s="33" t="n">
        <v>46174</v>
      </c>
      <c r="C79" s="34" t="str">
        <f aca="false">TEXT(B79,"mmm-yy")</f>
        <v>Jun-26</v>
      </c>
      <c r="D79" s="35" t="n">
        <f aca="false">COUNTIFS(Transaction_Data!$D$2:$D$5000,"&gt;="&amp;$B79,Transaction_Data!$D$2:$D$5000,"&lt;"&amp;EDATE($B79,1),Transaction_Data!$H$2:$H$5000,$S$4)</f>
        <v>115</v>
      </c>
      <c r="E79" s="36" t="n">
        <f aca="false">SUMIFS(Transaction_Data!$F$2:$F$5000,Transaction_Data!$D$2:$D$5000,"&gt;="&amp;$B79,Transaction_Data!$D$2:$D$5000,"&lt;"&amp;EDATE($B79,1),Transaction_Data!$H$2:$H$5000,$S$4)/100000</f>
        <v>117.1413842</v>
      </c>
      <c r="F79" s="37" t="n">
        <f aca="false">IFERROR(COUNTIFS(Transaction_Data!$D$2:$D$5000,"&gt;="&amp;$B79,Transaction_Data!$D$2:$D$5000,"&lt;"&amp;EDATE($B79,1),Transaction_Data!$H$2:$H$5000,$S$4,Transaction_Data!$J$2:$J$5000,"Success")/D79,0)</f>
        <v>0.921739130434783</v>
      </c>
      <c r="J79" s="32" t="s">
        <v>43</v>
      </c>
      <c r="K79" s="29" t="n">
        <f aca="false">COUNTIFS(Transaction_Data!$D$2:$D$5000,"&gt;="&amp;$S$5,Transaction_Data!$D$2:$D$5000,"&lt;"&amp;$S$6,Transaction_Data!$H$2:$H$5000,$J79)</f>
        <v>309</v>
      </c>
      <c r="L79" s="30" t="n">
        <f aca="false">SUMIFS(Transaction_Data!$F$2:$F$5000,Transaction_Data!$D$2:$D$5000,"&gt;="&amp;$S$5,Transaction_Data!$D$2:$D$5000,"&lt;"&amp;$S$6,Transaction_Data!$H$2:$H$5000,$J79)/100000</f>
        <v>307.2600944</v>
      </c>
      <c r="M79" s="39" t="n">
        <f aca="false">IFERROR(L79*100000/K79,0)</f>
        <v>99436.9237540453</v>
      </c>
      <c r="N79" s="31" t="n">
        <f aca="false">IFERROR(COUNTIFS(Transaction_Data!$D$2:$D$5000,"&gt;="&amp;$S$5,Transaction_Data!$D$2:$D$5000,"&lt;"&amp;$S$6,Transaction_Data!$H$2:$H$5000,$J79,Transaction_Data!$J$2:$J$5000,"Success")/K79,0)</f>
        <v>0.912621359223301</v>
      </c>
    </row>
    <row r="80" customFormat="false" ht="15" hidden="false" customHeight="false" outlineLevel="0" collapsed="false">
      <c r="B80" s="27" t="n">
        <v>46204</v>
      </c>
      <c r="C80" s="28" t="str">
        <f aca="false">TEXT(B80,"mmm-yy")</f>
        <v>Jul-26</v>
      </c>
      <c r="D80" s="29" t="n">
        <f aca="false">COUNTIFS(Transaction_Data!$D$2:$D$5000,"&gt;="&amp;$B80,Transaction_Data!$D$2:$D$5000,"&lt;"&amp;EDATE($B80,1),Transaction_Data!$H$2:$H$5000,$S$4)</f>
        <v>107</v>
      </c>
      <c r="E80" s="30" t="n">
        <f aca="false">SUMIFS(Transaction_Data!$F$2:$F$5000,Transaction_Data!$D$2:$D$5000,"&gt;="&amp;$B80,Transaction_Data!$D$2:$D$5000,"&lt;"&amp;EDATE($B80,1),Transaction_Data!$H$2:$H$5000,$S$4)/100000</f>
        <v>111.5113785</v>
      </c>
      <c r="F80" s="31" t="n">
        <f aca="false">IFERROR(COUNTIFS(Transaction_Data!$D$2:$D$5000,"&gt;="&amp;$B80,Transaction_Data!$D$2:$D$5000,"&lt;"&amp;EDATE($B80,1),Transaction_Data!$H$2:$H$5000,$S$4,Transaction_Data!$J$2:$J$5000,"Success")/D80,0)</f>
        <v>0.897196261682243</v>
      </c>
      <c r="J80" s="38" t="s">
        <v>44</v>
      </c>
      <c r="K80" s="35" t="n">
        <f aca="false">COUNTIFS(Transaction_Data!$D$2:$D$5000,"&gt;="&amp;$S$5,Transaction_Data!$D$2:$D$5000,"&lt;"&amp;$S$6,Transaction_Data!$H$2:$H$5000,$J80)</f>
        <v>256</v>
      </c>
      <c r="L80" s="36" t="n">
        <f aca="false">SUMIFS(Transaction_Data!$F$2:$F$5000,Transaction_Data!$D$2:$D$5000,"&gt;="&amp;$S$5,Transaction_Data!$D$2:$D$5000,"&lt;"&amp;$S$6,Transaction_Data!$H$2:$H$5000,$J80)/100000</f>
        <v>248.291197</v>
      </c>
      <c r="M80" s="40" t="n">
        <f aca="false">IFERROR(L80*100000/K80,0)</f>
        <v>96988.748828125</v>
      </c>
      <c r="N80" s="37" t="n">
        <f aca="false">IFERROR(COUNTIFS(Transaction_Data!$D$2:$D$5000,"&gt;="&amp;$S$5,Transaction_Data!$D$2:$D$5000,"&lt;"&amp;$S$6,Transaction_Data!$H$2:$H$5000,$J80,Transaction_Data!$J$2:$J$5000,"Success")/K80,0)</f>
        <v>0.890625</v>
      </c>
    </row>
    <row r="81" customFormat="false" ht="15" hidden="false" customHeight="false" outlineLevel="0" collapsed="false">
      <c r="B81" s="33" t="n">
        <v>46235</v>
      </c>
      <c r="C81" s="34" t="str">
        <f aca="false">TEXT(B81,"mmm-yy")</f>
        <v>Aug-26</v>
      </c>
      <c r="D81" s="35" t="n">
        <f aca="false">COUNTIFS(Transaction_Data!$D$2:$D$5000,"&gt;="&amp;$B81,Transaction_Data!$D$2:$D$5000,"&lt;"&amp;EDATE($B81,1),Transaction_Data!$H$2:$H$5000,$S$4)</f>
        <v>125</v>
      </c>
      <c r="E81" s="36" t="n">
        <f aca="false">SUMIFS(Transaction_Data!$F$2:$F$5000,Transaction_Data!$D$2:$D$5000,"&gt;="&amp;$B81,Transaction_Data!$D$2:$D$5000,"&lt;"&amp;EDATE($B81,1),Transaction_Data!$H$2:$H$5000,$S$4)/100000</f>
        <v>126.6112154</v>
      </c>
      <c r="F81" s="37" t="n">
        <f aca="false">IFERROR(COUNTIFS(Transaction_Data!$D$2:$D$5000,"&gt;="&amp;$B81,Transaction_Data!$D$2:$D$5000,"&lt;"&amp;EDATE($B81,1),Transaction_Data!$H$2:$H$5000,$S$4,Transaction_Data!$J$2:$J$5000,"Success")/D81,0)</f>
        <v>0.848</v>
      </c>
      <c r="J81" s="32" t="s">
        <v>45</v>
      </c>
      <c r="K81" s="29" t="n">
        <f aca="false">COUNTIFS(Transaction_Data!$D$2:$D$5000,"&gt;="&amp;$S$5,Transaction_Data!$D$2:$D$5000,"&lt;"&amp;$S$6,Transaction_Data!$H$2:$H$5000,$J81)</f>
        <v>244</v>
      </c>
      <c r="L81" s="30" t="n">
        <f aca="false">SUMIFS(Transaction_Data!$F$2:$F$5000,Transaction_Data!$D$2:$D$5000,"&gt;="&amp;$S$5,Transaction_Data!$D$2:$D$5000,"&lt;"&amp;$S$6,Transaction_Data!$H$2:$H$5000,$J81)/100000</f>
        <v>241.1911355</v>
      </c>
      <c r="M81" s="39" t="n">
        <f aca="false">IFERROR(L81*100000/K81,0)</f>
        <v>98848.8260245902</v>
      </c>
      <c r="N81" s="31" t="n">
        <f aca="false">IFERROR(COUNTIFS(Transaction_Data!$D$2:$D$5000,"&gt;="&amp;$S$5,Transaction_Data!$D$2:$D$5000,"&lt;"&amp;$S$6,Transaction_Data!$H$2:$H$5000,$J81,Transaction_Data!$J$2:$J$5000,"Success")/K81,0)</f>
        <v>0.84016393442623</v>
      </c>
    </row>
    <row r="82" customFormat="false" ht="15" hidden="false" customHeight="false" outlineLevel="0" collapsed="false">
      <c r="B82" s="27" t="n">
        <v>46266</v>
      </c>
      <c r="C82" s="28" t="str">
        <f aca="false">TEXT(B82,"mmm-yy")</f>
        <v>Sep-26</v>
      </c>
      <c r="D82" s="29" t="n">
        <f aca="false">COUNTIFS(Transaction_Data!$D$2:$D$5000,"&gt;="&amp;$B82,Transaction_Data!$D$2:$D$5000,"&lt;"&amp;EDATE($B82,1),Transaction_Data!$H$2:$H$5000,$S$4)</f>
        <v>118</v>
      </c>
      <c r="E82" s="30" t="n">
        <f aca="false">SUMIFS(Transaction_Data!$F$2:$F$5000,Transaction_Data!$D$2:$D$5000,"&gt;="&amp;$B82,Transaction_Data!$D$2:$D$5000,"&lt;"&amp;EDATE($B82,1),Transaction_Data!$H$2:$H$5000,$S$4)/100000</f>
        <v>108.3174521</v>
      </c>
      <c r="F82" s="31" t="n">
        <f aca="false">IFERROR(COUNTIFS(Transaction_Data!$D$2:$D$5000,"&gt;="&amp;$B82,Transaction_Data!$D$2:$D$5000,"&lt;"&amp;EDATE($B82,1),Transaction_Data!$H$2:$H$5000,$S$4,Transaction_Data!$J$2:$J$5000,"Success")/D82,0)</f>
        <v>0.932203389830508</v>
      </c>
      <c r="J82" s="38" t="s">
        <v>46</v>
      </c>
      <c r="K82" s="35" t="n">
        <f aca="false">COUNTIFS(Transaction_Data!$D$2:$D$5000,"&gt;="&amp;$S$5,Transaction_Data!$D$2:$D$5000,"&lt;"&amp;$S$6,Transaction_Data!$H$2:$H$5000,$J82)</f>
        <v>258</v>
      </c>
      <c r="L82" s="36" t="n">
        <f aca="false">SUMIFS(Transaction_Data!$F$2:$F$5000,Transaction_Data!$D$2:$D$5000,"&gt;="&amp;$S$5,Transaction_Data!$D$2:$D$5000,"&lt;"&amp;$S$6,Transaction_Data!$H$2:$H$5000,$J82)/100000</f>
        <v>266.8572878</v>
      </c>
      <c r="M82" s="40" t="n">
        <f aca="false">IFERROR(L82*100000/K82,0)</f>
        <v>103433.057286822</v>
      </c>
      <c r="N82" s="37" t="n">
        <f aca="false">IFERROR(COUNTIFS(Transaction_Data!$D$2:$D$5000,"&gt;="&amp;$S$5,Transaction_Data!$D$2:$D$5000,"&lt;"&amp;$S$6,Transaction_Data!$H$2:$H$5000,$J82,Transaction_Data!$J$2:$J$5000,"Success")/K82,0)</f>
        <v>0.852713178294574</v>
      </c>
    </row>
    <row r="83" customFormat="false" ht="15" hidden="false" customHeight="false" outlineLevel="0" collapsed="false">
      <c r="J83" s="32" t="s">
        <v>47</v>
      </c>
      <c r="K83" s="29" t="n">
        <f aca="false">COUNTIFS(Transaction_Data!$D$2:$D$5000,"&gt;="&amp;$S$5,Transaction_Data!$D$2:$D$5000,"&lt;"&amp;$S$6,Transaction_Data!$H$2:$H$5000,$J83)</f>
        <v>280</v>
      </c>
      <c r="L83" s="30" t="n">
        <f aca="false">SUMIFS(Transaction_Data!$F$2:$F$5000,Transaction_Data!$D$2:$D$5000,"&gt;="&amp;$S$5,Transaction_Data!$D$2:$D$5000,"&lt;"&amp;$S$6,Transaction_Data!$H$2:$H$5000,$J83)/100000</f>
        <v>271.3277268</v>
      </c>
      <c r="M83" s="39" t="n">
        <f aca="false">IFERROR(L83*100000/K83,0)</f>
        <v>96902.7595714286</v>
      </c>
      <c r="N83" s="31" t="n">
        <f aca="false">IFERROR(COUNTIFS(Transaction_Data!$D$2:$D$5000,"&gt;="&amp;$S$5,Transaction_Data!$D$2:$D$5000,"&lt;"&amp;$S$6,Transaction_Data!$H$2:$H$5000,$J83,Transaction_Data!$J$2:$J$5000,"Success")/K83,0)</f>
        <v>0.892857142857143</v>
      </c>
    </row>
    <row r="84" customFormat="false" ht="15" hidden="false" customHeight="false" outlineLevel="0" collapsed="false">
      <c r="J84" s="38" t="s">
        <v>48</v>
      </c>
      <c r="K84" s="35" t="n">
        <f aca="false">COUNTIFS(Transaction_Data!$D$2:$D$5000,"&gt;="&amp;$S$5,Transaction_Data!$D$2:$D$5000,"&lt;"&amp;$S$6,Transaction_Data!$H$2:$H$5000,$J84)</f>
        <v>240</v>
      </c>
      <c r="L84" s="36" t="n">
        <f aca="false">SUMIFS(Transaction_Data!$F$2:$F$5000,Transaction_Data!$D$2:$D$5000,"&gt;="&amp;$S$5,Transaction_Data!$D$2:$D$5000,"&lt;"&amp;$S$6,Transaction_Data!$H$2:$H$5000,$J84)/100000</f>
        <v>231.9371695</v>
      </c>
      <c r="M84" s="40" t="n">
        <f aca="false">IFERROR(L84*100000/K84,0)</f>
        <v>96640.4872916667</v>
      </c>
      <c r="N84" s="37" t="n">
        <f aca="false">IFERROR(COUNTIFS(Transaction_Data!$D$2:$D$5000,"&gt;="&amp;$S$5,Transaction_Data!$D$2:$D$5000,"&lt;"&amp;$S$6,Transaction_Data!$H$2:$H$5000,$J84,Transaction_Data!$J$2:$J$5000,"Success")/K84,0)</f>
        <v>0.891666666666667</v>
      </c>
    </row>
    <row r="85" customFormat="false" ht="15" hidden="false" customHeight="false" outlineLevel="0" collapsed="false">
      <c r="B85" s="24" t="s">
        <v>49</v>
      </c>
      <c r="C85" s="25"/>
      <c r="D85" s="25"/>
      <c r="E85" s="25"/>
      <c r="F85" s="25"/>
      <c r="G85" s="25"/>
      <c r="H85" s="25"/>
    </row>
    <row r="86" customFormat="false" ht="25.5" hidden="false" customHeight="true" outlineLevel="0" collapsed="false">
      <c r="B86" s="26" t="s">
        <v>50</v>
      </c>
      <c r="C86" s="26" t="s">
        <v>23</v>
      </c>
      <c r="D86" s="26" t="s">
        <v>24</v>
      </c>
      <c r="E86" s="26" t="s">
        <v>37</v>
      </c>
      <c r="F86" s="26" t="s">
        <v>38</v>
      </c>
      <c r="G86" s="26" t="s">
        <v>51</v>
      </c>
      <c r="H86" s="26" t="s">
        <v>52</v>
      </c>
    </row>
    <row r="87" customFormat="false" ht="15" hidden="false" customHeight="false" outlineLevel="0" collapsed="false">
      <c r="B87" s="32" t="s">
        <v>53</v>
      </c>
      <c r="C87" s="29" t="n">
        <f aca="false">COUNTIFS(Transaction_Data!$D$2:$D$5000,"&gt;="&amp;$S$5,Transaction_Data!$D$2:$D$5000,"&lt;"&amp;$S$6,Transaction_Data!$H$2:$H$5000,$S$4,Transaction_Data!$E$2:$E$5000,$B87)</f>
        <v>385</v>
      </c>
      <c r="D87" s="30" t="n">
        <f aca="false">SUMIFS(Transaction_Data!$F$2:$F$5000,Transaction_Data!$D$2:$D$5000,"&gt;="&amp;$S$5,Transaction_Data!$D$2:$D$5000,"&lt;"&amp;$S$6,Transaction_Data!$H$2:$H$5000,$S$4,Transaction_Data!$E$2:$E$5000,$B87)/100000</f>
        <v>368.8317309</v>
      </c>
      <c r="E87" s="39" t="n">
        <f aca="false">IFERROR(SUMIFS(Transaction_Data!$F$2:$F$5000,Transaction_Data!$D$2:$D$5000,"&gt;="&amp;$S$5,Transaction_Data!$D$2:$D$5000,"&lt;"&amp;$S$6,Transaction_Data!$H$2:$H$5000,$S$4,Transaction_Data!$E$2:$E$5000,$B87)/C87,0)</f>
        <v>95800.4495844156</v>
      </c>
      <c r="F87" s="31" t="n">
        <f aca="false">IFERROR(COUNTIFS(Transaction_Data!$D$2:$D$5000,"&gt;="&amp;$S$5,Transaction_Data!$D$2:$D$5000,"&lt;"&amp;$S$6,Transaction_Data!$H$2:$H$5000,$S$4,Transaction_Data!$E$2:$E$5000,$B87,Transaction_Data!$J$2:$J$5000,"Success")/C87,0)</f>
        <v>0.872727272727273</v>
      </c>
      <c r="G87" s="31" t="n">
        <f aca="false">IFERROR(COUNTIFS(Transaction_Data!$D$2:$D$5000,"&gt;="&amp;$S$5,Transaction_Data!$D$2:$D$5000,"&lt;"&amp;$S$6,Transaction_Data!$H$2:$H$5000,$S$4,Transaction_Data!$E$2:$E$5000,$B87,Transaction_Data!$J$2:$J$5000,"Failed")/C87,0)</f>
        <v>0.0961038961038961</v>
      </c>
      <c r="H87" s="31" t="n">
        <f aca="false">IFERROR(COUNTIFS(Transaction_Data!$D$2:$D$5000,"&gt;="&amp;$S$5,Transaction_Data!$D$2:$D$5000,"&lt;"&amp;$S$6,Transaction_Data!$H$2:$H$5000,$S$4,Transaction_Data!$E$2:$E$5000,$B87,Transaction_Data!$J$2:$J$5000,"Pending")/C87,0)</f>
        <v>0.0311688311688312</v>
      </c>
      <c r="J87" s="24" t="s">
        <v>54</v>
      </c>
      <c r="K87" s="25"/>
      <c r="L87" s="25"/>
      <c r="M87" s="25"/>
      <c r="N87" s="25"/>
    </row>
    <row r="88" customFormat="false" ht="25.5" hidden="false" customHeight="true" outlineLevel="0" collapsed="false">
      <c r="B88" s="38" t="s">
        <v>55</v>
      </c>
      <c r="C88" s="35" t="n">
        <f aca="false">COUNTIFS(Transaction_Data!$D$2:$D$5000,"&gt;="&amp;$S$5,Transaction_Data!$D$2:$D$5000,"&lt;"&amp;$S$6,Transaction_Data!$H$2:$H$5000,$S$4,Transaction_Data!$E$2:$E$5000,$B88)</f>
        <v>345</v>
      </c>
      <c r="D88" s="36" t="n">
        <f aca="false">SUMIFS(Transaction_Data!$F$2:$F$5000,Transaction_Data!$D$2:$D$5000,"&gt;="&amp;$S$5,Transaction_Data!$D$2:$D$5000,"&lt;"&amp;$S$6,Transaction_Data!$H$2:$H$5000,$S$4,Transaction_Data!$E$2:$E$5000,$B88)/100000</f>
        <v>333.133873</v>
      </c>
      <c r="E88" s="40" t="n">
        <f aca="false">IFERROR(SUMIFS(Transaction_Data!$F$2:$F$5000,Transaction_Data!$D$2:$D$5000,"&gt;="&amp;$S$5,Transaction_Data!$D$2:$D$5000,"&lt;"&amp;$S$6,Transaction_Data!$H$2:$H$5000,$S$4,Transaction_Data!$E$2:$E$5000,$B88)/C88,0)</f>
        <v>96560.5428985507</v>
      </c>
      <c r="F88" s="37" t="n">
        <f aca="false">IFERROR(COUNTIFS(Transaction_Data!$D$2:$D$5000,"&gt;="&amp;$S$5,Transaction_Data!$D$2:$D$5000,"&lt;"&amp;$S$6,Transaction_Data!$H$2:$H$5000,$S$4,Transaction_Data!$E$2:$E$5000,$B88,Transaction_Data!$J$2:$J$5000,"Success")/C88,0)</f>
        <v>0.881159420289855</v>
      </c>
      <c r="G88" s="37" t="n">
        <f aca="false">IFERROR(COUNTIFS(Transaction_Data!$D$2:$D$5000,"&gt;="&amp;$S$5,Transaction_Data!$D$2:$D$5000,"&lt;"&amp;$S$6,Transaction_Data!$H$2:$H$5000,$S$4,Transaction_Data!$E$2:$E$5000,$B88,Transaction_Data!$J$2:$J$5000,"Failed")/C88,0)</f>
        <v>0.0753623188405797</v>
      </c>
      <c r="H88" s="37" t="n">
        <f aca="false">IFERROR(COUNTIFS(Transaction_Data!$D$2:$D$5000,"&gt;="&amp;$S$5,Transaction_Data!$D$2:$D$5000,"&lt;"&amp;$S$6,Transaction_Data!$H$2:$H$5000,$S$4,Transaction_Data!$E$2:$E$5000,$B88,Transaction_Data!$J$2:$J$5000,"Pending")/C88,0)</f>
        <v>0.0434782608695652</v>
      </c>
      <c r="J88" s="26" t="s">
        <v>56</v>
      </c>
      <c r="K88" s="26" t="s">
        <v>57</v>
      </c>
      <c r="L88" s="26" t="s">
        <v>36</v>
      </c>
      <c r="M88" s="26" t="s">
        <v>23</v>
      </c>
      <c r="N88" s="26" t="s">
        <v>24</v>
      </c>
    </row>
    <row r="89" customFormat="false" ht="15" hidden="false" customHeight="false" outlineLevel="0" collapsed="false">
      <c r="B89" s="32" t="s">
        <v>58</v>
      </c>
      <c r="C89" s="29" t="n">
        <f aca="false">COUNTIFS(Transaction_Data!$D$2:$D$5000,"&gt;="&amp;$S$5,Transaction_Data!$D$2:$D$5000,"&lt;"&amp;$S$6,Transaction_Data!$H$2:$H$5000,$S$4,Transaction_Data!$E$2:$E$5000,$B89)</f>
        <v>321</v>
      </c>
      <c r="D89" s="30" t="n">
        <f aca="false">SUMIFS(Transaction_Data!$F$2:$F$5000,Transaction_Data!$D$2:$D$5000,"&gt;="&amp;$S$5,Transaction_Data!$D$2:$D$5000,"&lt;"&amp;$S$6,Transaction_Data!$H$2:$H$5000,$S$4,Transaction_Data!$E$2:$E$5000,$B89)/100000</f>
        <v>321.0778862</v>
      </c>
      <c r="E89" s="39" t="n">
        <f aca="false">IFERROR(SUMIFS(Transaction_Data!$F$2:$F$5000,Transaction_Data!$D$2:$D$5000,"&gt;="&amp;$S$5,Transaction_Data!$D$2:$D$5000,"&lt;"&amp;$S$6,Transaction_Data!$H$2:$H$5000,$S$4,Transaction_Data!$E$2:$E$5000,$B89)/C89,0)</f>
        <v>100024.263613707</v>
      </c>
      <c r="F89" s="31" t="n">
        <f aca="false">IFERROR(COUNTIFS(Transaction_Data!$D$2:$D$5000,"&gt;="&amp;$S$5,Transaction_Data!$D$2:$D$5000,"&lt;"&amp;$S$6,Transaction_Data!$H$2:$H$5000,$S$4,Transaction_Data!$E$2:$E$5000,$B89,Transaction_Data!$J$2:$J$5000,"Success")/C89,0)</f>
        <v>0.897196261682243</v>
      </c>
      <c r="G89" s="31" t="n">
        <f aca="false">IFERROR(COUNTIFS(Transaction_Data!$D$2:$D$5000,"&gt;="&amp;$S$5,Transaction_Data!$D$2:$D$5000,"&lt;"&amp;$S$6,Transaction_Data!$H$2:$H$5000,$S$4,Transaction_Data!$E$2:$E$5000,$B89,Transaction_Data!$J$2:$J$5000,"Failed")/C89,0)</f>
        <v>0.0623052959501558</v>
      </c>
      <c r="H89" s="31" t="n">
        <f aca="false">IFERROR(COUNTIFS(Transaction_Data!$D$2:$D$5000,"&gt;="&amp;$S$5,Transaction_Data!$D$2:$D$5000,"&lt;"&amp;$S$6,Transaction_Data!$H$2:$H$5000,$S$4,Transaction_Data!$E$2:$E$5000,$B89,Transaction_Data!$J$2:$J$5000,"Pending")/C89,0)</f>
        <v>0.0404984423676012</v>
      </c>
      <c r="J89" s="41" t="n">
        <v>1</v>
      </c>
      <c r="K89" s="28" t="str">
        <f aca="false">INDEX($J$103:$J$132,MATCH(LARGE($M$103:$M$132,$J89),$M$103:$M$132,0))</f>
        <v>Malviya Nagar</v>
      </c>
      <c r="L89" s="28" t="str">
        <f aca="false">INDEX($K$103:$K$132,MATCH(LARGE($M$103:$M$132,$J89),$M$103:$M$132,0))</f>
        <v>Jaipur</v>
      </c>
      <c r="M89" s="29" t="n">
        <f aca="false">INDEX($L$103:$L$132,MATCH(LARGE($M$103:$M$132,$J89),$M$103:$M$132,0))</f>
        <v>126</v>
      </c>
      <c r="N89" s="30" t="n">
        <f aca="false">INDEX($M$103:$M$132,MATCH(LARGE($M$103:$M$132,$J89),$M$103:$M$132,0))</f>
        <v>119.7365981</v>
      </c>
    </row>
    <row r="90" customFormat="false" ht="15" hidden="false" customHeight="false" outlineLevel="0" collapsed="false">
      <c r="B90" s="38" t="s">
        <v>59</v>
      </c>
      <c r="C90" s="35" t="n">
        <f aca="false">COUNTIFS(Transaction_Data!$D$2:$D$5000,"&gt;="&amp;$S$5,Transaction_Data!$D$2:$D$5000,"&lt;"&amp;$S$6,Transaction_Data!$H$2:$H$5000,$S$4,Transaction_Data!$E$2:$E$5000,$B90)</f>
        <v>366</v>
      </c>
      <c r="D90" s="36" t="n">
        <f aca="false">SUMIFS(Transaction_Data!$F$2:$F$5000,Transaction_Data!$D$2:$D$5000,"&gt;="&amp;$S$5,Transaction_Data!$D$2:$D$5000,"&lt;"&amp;$S$6,Transaction_Data!$H$2:$H$5000,$S$4,Transaction_Data!$E$2:$E$5000,$B90)/100000</f>
        <v>375.0432102</v>
      </c>
      <c r="E90" s="40" t="n">
        <f aca="false">IFERROR(SUMIFS(Transaction_Data!$F$2:$F$5000,Transaction_Data!$D$2:$D$5000,"&gt;="&amp;$S$5,Transaction_Data!$D$2:$D$5000,"&lt;"&amp;$S$6,Transaction_Data!$H$2:$H$5000,$S$4,Transaction_Data!$E$2:$E$5000,$B90)/C90,0)</f>
        <v>102470.822459016</v>
      </c>
      <c r="F90" s="37" t="n">
        <f aca="false">IFERROR(COUNTIFS(Transaction_Data!$D$2:$D$5000,"&gt;="&amp;$S$5,Transaction_Data!$D$2:$D$5000,"&lt;"&amp;$S$6,Transaction_Data!$H$2:$H$5000,$S$4,Transaction_Data!$E$2:$E$5000,$B90,Transaction_Data!$J$2:$J$5000,"Success")/C90,0)</f>
        <v>0.898907103825137</v>
      </c>
      <c r="G90" s="37" t="n">
        <f aca="false">IFERROR(COUNTIFS(Transaction_Data!$D$2:$D$5000,"&gt;="&amp;$S$5,Transaction_Data!$D$2:$D$5000,"&lt;"&amp;$S$6,Transaction_Data!$H$2:$H$5000,$S$4,Transaction_Data!$E$2:$E$5000,$B90,Transaction_Data!$J$2:$J$5000,"Failed")/C90,0)</f>
        <v>0.0628415300546448</v>
      </c>
      <c r="H90" s="37" t="n">
        <f aca="false">IFERROR(COUNTIFS(Transaction_Data!$D$2:$D$5000,"&gt;="&amp;$S$5,Transaction_Data!$D$2:$D$5000,"&lt;"&amp;$S$6,Transaction_Data!$H$2:$H$5000,$S$4,Transaction_Data!$E$2:$E$5000,$B90,Transaction_Data!$J$2:$J$5000,"Pending")/C90,0)</f>
        <v>0.0382513661202186</v>
      </c>
      <c r="J90" s="42" t="n">
        <v>2</v>
      </c>
      <c r="K90" s="34" t="str">
        <f aca="false">INDEX($J$103:$J$132,MATCH(LARGE($M$103:$M$132,$J90),$M$103:$M$132,0))</f>
        <v>Bandra</v>
      </c>
      <c r="L90" s="34" t="str">
        <f aca="false">INDEX($K$103:$K$132,MATCH(LARGE($M$103:$M$132,$J90),$M$103:$M$132,0))</f>
        <v>Mumbai</v>
      </c>
      <c r="M90" s="35" t="n">
        <f aca="false">INDEX($L$103:$L$132,MATCH(LARGE($M$103:$M$132,$J90),$M$103:$M$132,0))</f>
        <v>113</v>
      </c>
      <c r="N90" s="36" t="n">
        <f aca="false">INDEX($M$103:$M$132,MATCH(LARGE($M$103:$M$132,$J90),$M$103:$M$132,0))</f>
        <v>114.704305</v>
      </c>
    </row>
    <row r="91" customFormat="false" ht="15" hidden="false" customHeight="false" outlineLevel="0" collapsed="false">
      <c r="B91" s="32" t="s">
        <v>60</v>
      </c>
      <c r="C91" s="29" t="n">
        <f aca="false">COUNTIFS(Transaction_Data!$D$2:$D$5000,"&gt;="&amp;$S$5,Transaction_Data!$D$2:$D$5000,"&lt;"&amp;$S$6,Transaction_Data!$H$2:$H$5000,$S$4,Transaction_Data!$E$2:$E$5000,$B91)</f>
        <v>369</v>
      </c>
      <c r="D91" s="30" t="n">
        <f aca="false">SUMIFS(Transaction_Data!$F$2:$F$5000,Transaction_Data!$D$2:$D$5000,"&gt;="&amp;$S$5,Transaction_Data!$D$2:$D$5000,"&lt;"&amp;$S$6,Transaction_Data!$H$2:$H$5000,$S$4,Transaction_Data!$E$2:$E$5000,$B91)/100000</f>
        <v>379.7141685</v>
      </c>
      <c r="E91" s="39" t="n">
        <f aca="false">IFERROR(SUMIFS(Transaction_Data!$F$2:$F$5000,Transaction_Data!$D$2:$D$5000,"&gt;="&amp;$S$5,Transaction_Data!$D$2:$D$5000,"&lt;"&amp;$S$6,Transaction_Data!$H$2:$H$5000,$S$4,Transaction_Data!$E$2:$E$5000,$B91)/C91,0)</f>
        <v>102903.568699187</v>
      </c>
      <c r="F91" s="31" t="n">
        <f aca="false">IFERROR(COUNTIFS(Transaction_Data!$D$2:$D$5000,"&gt;="&amp;$S$5,Transaction_Data!$D$2:$D$5000,"&lt;"&amp;$S$6,Transaction_Data!$H$2:$H$5000,$S$4,Transaction_Data!$E$2:$E$5000,$B91,Transaction_Data!$J$2:$J$5000,"Success")/C91,0)</f>
        <v>0.869918699186992</v>
      </c>
      <c r="G91" s="31" t="n">
        <f aca="false">IFERROR(COUNTIFS(Transaction_Data!$D$2:$D$5000,"&gt;="&amp;$S$5,Transaction_Data!$D$2:$D$5000,"&lt;"&amp;$S$6,Transaction_Data!$H$2:$H$5000,$S$4,Transaction_Data!$E$2:$E$5000,$B91,Transaction_Data!$J$2:$J$5000,"Failed")/C91,0)</f>
        <v>0.0975609756097561</v>
      </c>
      <c r="H91" s="31" t="n">
        <f aca="false">IFERROR(COUNTIFS(Transaction_Data!$D$2:$D$5000,"&gt;="&amp;$S$5,Transaction_Data!$D$2:$D$5000,"&lt;"&amp;$S$6,Transaction_Data!$H$2:$H$5000,$S$4,Transaction_Data!$E$2:$E$5000,$B91,Transaction_Data!$J$2:$J$5000,"Pending")/C91,0)</f>
        <v>0.032520325203252</v>
      </c>
      <c r="J91" s="41" t="n">
        <v>3</v>
      </c>
      <c r="K91" s="28" t="str">
        <f aca="false">INDEX($J$103:$J$132,MATCH(LARGE($M$103:$M$132,$J91),$M$103:$M$132,0))</f>
        <v>C-Scheme</v>
      </c>
      <c r="L91" s="28" t="str">
        <f aca="false">INDEX($K$103:$K$132,MATCH(LARGE($M$103:$M$132,$J91),$M$103:$M$132,0))</f>
        <v>Jaipur</v>
      </c>
      <c r="M91" s="29" t="n">
        <f aca="false">INDEX($L$103:$L$132,MATCH(LARGE($M$103:$M$132,$J91),$M$103:$M$132,0))</f>
        <v>107</v>
      </c>
      <c r="N91" s="30" t="n">
        <f aca="false">INDEX($M$103:$M$132,MATCH(LARGE($M$103:$M$132,$J91),$M$103:$M$132,0))</f>
        <v>112.6304468</v>
      </c>
    </row>
    <row r="92" customFormat="false" ht="15" hidden="false" customHeight="false" outlineLevel="0" collapsed="false">
      <c r="B92" s="38" t="s">
        <v>61</v>
      </c>
      <c r="C92" s="35" t="n">
        <f aca="false">COUNTIFS(Transaction_Data!$D$2:$D$5000,"&gt;="&amp;$S$5,Transaction_Data!$D$2:$D$5000,"&lt;"&amp;$S$6,Transaction_Data!$H$2:$H$5000,$S$4,Transaction_Data!$E$2:$E$5000,$B92)</f>
        <v>353</v>
      </c>
      <c r="D92" s="36" t="n">
        <f aca="false">SUMIFS(Transaction_Data!$F$2:$F$5000,Transaction_Data!$D$2:$D$5000,"&gt;="&amp;$S$5,Transaction_Data!$D$2:$D$5000,"&lt;"&amp;$S$6,Transaction_Data!$H$2:$H$5000,$S$4,Transaction_Data!$E$2:$E$5000,$B92)/100000</f>
        <v>349.2881332</v>
      </c>
      <c r="E92" s="40" t="n">
        <f aca="false">IFERROR(SUMIFS(Transaction_Data!$F$2:$F$5000,Transaction_Data!$D$2:$D$5000,"&gt;="&amp;$S$5,Transaction_Data!$D$2:$D$5000,"&lt;"&amp;$S$6,Transaction_Data!$H$2:$H$5000,$S$4,Transaction_Data!$E$2:$E$5000,$B92)/C92,0)</f>
        <v>98948.4796600567</v>
      </c>
      <c r="F92" s="37" t="n">
        <f aca="false">IFERROR(COUNTIFS(Transaction_Data!$D$2:$D$5000,"&gt;="&amp;$S$5,Transaction_Data!$D$2:$D$5000,"&lt;"&amp;$S$6,Transaction_Data!$H$2:$H$5000,$S$4,Transaction_Data!$E$2:$E$5000,$B92,Transaction_Data!$J$2:$J$5000,"Success")/C92,0)</f>
        <v>0.872521246458924</v>
      </c>
      <c r="G92" s="37" t="n">
        <f aca="false">IFERROR(COUNTIFS(Transaction_Data!$D$2:$D$5000,"&gt;="&amp;$S$5,Transaction_Data!$D$2:$D$5000,"&lt;"&amp;$S$6,Transaction_Data!$H$2:$H$5000,$S$4,Transaction_Data!$E$2:$E$5000,$B92,Transaction_Data!$J$2:$J$5000,"Failed")/C92,0)</f>
        <v>0.0906515580736544</v>
      </c>
      <c r="H92" s="37" t="n">
        <f aca="false">IFERROR(COUNTIFS(Transaction_Data!$D$2:$D$5000,"&gt;="&amp;$S$5,Transaction_Data!$D$2:$D$5000,"&lt;"&amp;$S$6,Transaction_Data!$H$2:$H$5000,$S$4,Transaction_Data!$E$2:$E$5000,$B92,Transaction_Data!$J$2:$J$5000,"Pending")/C92,0)</f>
        <v>0.0368271954674221</v>
      </c>
      <c r="J92" s="42" t="n">
        <v>4</v>
      </c>
      <c r="K92" s="34" t="str">
        <f aca="false">INDEX($J$103:$J$132,MATCH(LARGE($M$103:$M$132,$J92),$M$103:$M$132,0))</f>
        <v>OMR</v>
      </c>
      <c r="L92" s="34" t="str">
        <f aca="false">INDEX($K$103:$K$132,MATCH(LARGE($M$103:$M$132,$J92),$M$103:$M$132,0))</f>
        <v>Chennai</v>
      </c>
      <c r="M92" s="35" t="n">
        <f aca="false">INDEX($L$103:$L$132,MATCH(LARGE($M$103:$M$132,$J92),$M$103:$M$132,0))</f>
        <v>107</v>
      </c>
      <c r="N92" s="36" t="n">
        <f aca="false">INDEX($M$103:$M$132,MATCH(LARGE($M$103:$M$132,$J92),$M$103:$M$132,0))</f>
        <v>109.3161272</v>
      </c>
    </row>
    <row r="93" customFormat="false" ht="15" hidden="false" customHeight="false" outlineLevel="0" collapsed="false">
      <c r="B93" s="32" t="s">
        <v>62</v>
      </c>
      <c r="C93" s="29" t="n">
        <f aca="false">COUNTIFS(Transaction_Data!$D$2:$D$5000,"&gt;="&amp;$S$5,Transaction_Data!$D$2:$D$5000,"&lt;"&amp;$S$6,Transaction_Data!$H$2:$H$5000,$S$4,Transaction_Data!$E$2:$E$5000,$B93)</f>
        <v>361</v>
      </c>
      <c r="D93" s="30" t="n">
        <f aca="false">SUMIFS(Transaction_Data!$F$2:$F$5000,Transaction_Data!$D$2:$D$5000,"&gt;="&amp;$S$5,Transaction_Data!$D$2:$D$5000,"&lt;"&amp;$S$6,Transaction_Data!$H$2:$H$5000,$S$4,Transaction_Data!$E$2:$E$5000,$B93)/100000</f>
        <v>356.9084158</v>
      </c>
      <c r="E93" s="39" t="n">
        <f aca="false">IFERROR(SUMIFS(Transaction_Data!$F$2:$F$5000,Transaction_Data!$D$2:$D$5000,"&gt;="&amp;$S$5,Transaction_Data!$D$2:$D$5000,"&lt;"&amp;$S$6,Transaction_Data!$H$2:$H$5000,$S$4,Transaction_Data!$E$2:$E$5000,$B93)/C93,0)</f>
        <v>98866.5971745152</v>
      </c>
      <c r="F93" s="31" t="n">
        <f aca="false">IFERROR(COUNTIFS(Transaction_Data!$D$2:$D$5000,"&gt;="&amp;$S$5,Transaction_Data!$D$2:$D$5000,"&lt;"&amp;$S$6,Transaction_Data!$H$2:$H$5000,$S$4,Transaction_Data!$E$2:$E$5000,$B93,Transaction_Data!$J$2:$J$5000,"Success")/C93,0)</f>
        <v>0.900277008310249</v>
      </c>
      <c r="G93" s="31" t="n">
        <f aca="false">IFERROR(COUNTIFS(Transaction_Data!$D$2:$D$5000,"&gt;="&amp;$S$5,Transaction_Data!$D$2:$D$5000,"&lt;"&amp;$S$6,Transaction_Data!$H$2:$H$5000,$S$4,Transaction_Data!$E$2:$E$5000,$B93,Transaction_Data!$J$2:$J$5000,"Failed")/C93,0)</f>
        <v>0.0637119113573407</v>
      </c>
      <c r="H93" s="31" t="n">
        <f aca="false">IFERROR(COUNTIFS(Transaction_Data!$D$2:$D$5000,"&gt;="&amp;$S$5,Transaction_Data!$D$2:$D$5000,"&lt;"&amp;$S$6,Transaction_Data!$H$2:$H$5000,$S$4,Transaction_Data!$E$2:$E$5000,$B93,Transaction_Data!$J$2:$J$5000,"Pending")/C93,0)</f>
        <v>0.03601108033241</v>
      </c>
      <c r="J93" s="41" t="n">
        <v>5</v>
      </c>
      <c r="K93" s="28" t="str">
        <f aca="false">INDEX($J$103:$J$132,MATCH(LARGE($M$103:$M$132,$J93),$M$103:$M$132,0))</f>
        <v>Whitefield</v>
      </c>
      <c r="L93" s="28" t="str">
        <f aca="false">INDEX($K$103:$K$132,MATCH(LARGE($M$103:$M$132,$J93),$M$103:$M$132,0))</f>
        <v>Bengaluru</v>
      </c>
      <c r="M93" s="29" t="n">
        <f aca="false">INDEX($L$103:$L$132,MATCH(LARGE($M$103:$M$132,$J93),$M$103:$M$132,0))</f>
        <v>106</v>
      </c>
      <c r="N93" s="30" t="n">
        <f aca="false">INDEX($M$103:$M$132,MATCH(LARGE($M$103:$M$132,$J93),$M$103:$M$132,0))</f>
        <v>106.8413679</v>
      </c>
    </row>
    <row r="94" customFormat="false" ht="15" hidden="false" customHeight="false" outlineLevel="0" collapsed="false">
      <c r="J94" s="42" t="n">
        <v>6</v>
      </c>
      <c r="K94" s="34" t="str">
        <f aca="false">INDEX($J$103:$J$132,MATCH(LARGE($M$103:$M$132,$J94),$M$103:$M$132,0))</f>
        <v>Sector 18</v>
      </c>
      <c r="L94" s="34" t="str">
        <f aca="false">INDEX($K$103:$K$132,MATCH(LARGE($M$103:$M$132,$J94),$M$103:$M$132,0))</f>
        <v>Noida</v>
      </c>
      <c r="M94" s="35" t="n">
        <f aca="false">INDEX($L$103:$L$132,MATCH(LARGE($M$103:$M$132,$J94),$M$103:$M$132,0))</f>
        <v>99</v>
      </c>
      <c r="N94" s="36" t="n">
        <f aca="false">INDEX($M$103:$M$132,MATCH(LARGE($M$103:$M$132,$J94),$M$103:$M$132,0))</f>
        <v>102.3268911</v>
      </c>
    </row>
    <row r="95" customFormat="false" ht="15" hidden="false" customHeight="false" outlineLevel="0" collapsed="false">
      <c r="J95" s="41" t="n">
        <v>7</v>
      </c>
      <c r="K95" s="28" t="str">
        <f aca="false">INDEX($J$103:$J$132,MATCH(LARGE($M$103:$M$132,$J95),$M$103:$M$132,0))</f>
        <v>Sector 62</v>
      </c>
      <c r="L95" s="28" t="str">
        <f aca="false">INDEX($K$103:$K$132,MATCH(LARGE($M$103:$M$132,$J95),$M$103:$M$132,0))</f>
        <v>Noida</v>
      </c>
      <c r="M95" s="29" t="n">
        <f aca="false">INDEX($L$103:$L$132,MATCH(LARGE($M$103:$M$132,$J95),$M$103:$M$132,0))</f>
        <v>105</v>
      </c>
      <c r="N95" s="30" t="n">
        <f aca="false">INDEX($M$103:$M$132,MATCH(LARGE($M$103:$M$132,$J95),$M$103:$M$132,0))</f>
        <v>97.7532259</v>
      </c>
    </row>
    <row r="96" customFormat="false" ht="15" hidden="false" customHeight="false" outlineLevel="0" collapsed="false">
      <c r="B96" s="24" t="s">
        <v>63</v>
      </c>
      <c r="C96" s="25"/>
      <c r="D96" s="25"/>
      <c r="E96" s="25"/>
      <c r="F96" s="25"/>
      <c r="G96" s="25"/>
      <c r="H96" s="25"/>
      <c r="J96" s="42" t="n">
        <v>8</v>
      </c>
      <c r="K96" s="34" t="str">
        <f aca="false">INDEX($J$103:$J$132,MATCH(LARGE($M$103:$M$132,$J96),$M$103:$M$132,0))</f>
        <v>Gomti Nagar</v>
      </c>
      <c r="L96" s="34" t="str">
        <f aca="false">INDEX($K$103:$K$132,MATCH(LARGE($M$103:$M$132,$J96),$M$103:$M$132,0))</f>
        <v>Lucknow</v>
      </c>
      <c r="M96" s="35" t="n">
        <f aca="false">INDEX($L$103:$L$132,MATCH(LARGE($M$103:$M$132,$J96),$M$103:$M$132,0))</f>
        <v>102</v>
      </c>
      <c r="N96" s="36" t="n">
        <f aca="false">INDEX($M$103:$M$132,MATCH(LARGE($M$103:$M$132,$J96),$M$103:$M$132,0))</f>
        <v>96.9345302</v>
      </c>
    </row>
    <row r="97" customFormat="false" ht="25.5" hidden="false" customHeight="true" outlineLevel="0" collapsed="false">
      <c r="B97" s="26" t="s">
        <v>64</v>
      </c>
      <c r="C97" s="26" t="s">
        <v>23</v>
      </c>
      <c r="D97" s="26" t="s">
        <v>24</v>
      </c>
      <c r="E97" s="26" t="s">
        <v>37</v>
      </c>
      <c r="F97" s="26" t="s">
        <v>38</v>
      </c>
      <c r="G97" s="26" t="s">
        <v>51</v>
      </c>
      <c r="H97" s="26" t="s">
        <v>52</v>
      </c>
      <c r="J97" s="41" t="n">
        <v>9</v>
      </c>
      <c r="K97" s="28" t="str">
        <f aca="false">INDEX($J$103:$J$132,MATCH(LARGE($M$103:$M$132,$J97),$M$103:$M$132,0))</f>
        <v>Electronic City</v>
      </c>
      <c r="L97" s="28" t="str">
        <f aca="false">INDEX($K$103:$K$132,MATCH(LARGE($M$103:$M$132,$J97),$M$103:$M$132,0))</f>
        <v>Bengaluru</v>
      </c>
      <c r="M97" s="29" t="n">
        <f aca="false">INDEX($L$103:$L$132,MATCH(LARGE($M$103:$M$132,$J97),$M$103:$M$132,0))</f>
        <v>94</v>
      </c>
      <c r="N97" s="30" t="n">
        <f aca="false">INDEX($M$103:$M$132,MATCH(LARGE($M$103:$M$132,$J97),$M$103:$M$132,0))</f>
        <v>93.0850763</v>
      </c>
    </row>
    <row r="98" customFormat="false" ht="15" hidden="false" customHeight="false" outlineLevel="0" collapsed="false">
      <c r="B98" s="32" t="s">
        <v>53</v>
      </c>
      <c r="C98" s="29" t="n">
        <f aca="false">COUNTIFS(Transaction_Data!$D$2:$D$5000,"&gt;="&amp;$S$5,Transaction_Data!$D$2:$D$5000,"&lt;"&amp;$S$6,Transaction_Data!$H$2:$H$5000,$S$4,Transaction_Data!$G$2:$G$5000,$B98)</f>
        <v>466</v>
      </c>
      <c r="D98" s="30" t="n">
        <f aca="false">SUMIFS(Transaction_Data!$F$2:$F$5000,Transaction_Data!$D$2:$D$5000,"&gt;="&amp;$S$5,Transaction_Data!$D$2:$D$5000,"&lt;"&amp;$S$6,Transaction_Data!$H$2:$H$5000,$S$4,Transaction_Data!$G$2:$G$5000,$B98)/100000</f>
        <v>449.5757745</v>
      </c>
      <c r="E98" s="39" t="n">
        <f aca="false">IFERROR(SUMIFS(Transaction_Data!$F$2:$F$5000,Transaction_Data!$D$2:$D$5000,"&gt;="&amp;$S$5,Transaction_Data!$D$2:$D$5000,"&lt;"&amp;$S$6,Transaction_Data!$H$2:$H$5000,$S$4,Transaction_Data!$G$2:$G$5000,$B98)/C98,0)</f>
        <v>96475.4880901288</v>
      </c>
      <c r="F98" s="31" t="n">
        <f aca="false">IFERROR(COUNTIFS(Transaction_Data!$D$2:$D$5000,"&gt;="&amp;$S$5,Transaction_Data!$D$2:$D$5000,"&lt;"&amp;$S$6,Transaction_Data!$H$2:$H$5000,$S$4,Transaction_Data!$G$2:$G$5000,$B98,Transaction_Data!$J$2:$J$5000,"Success")/C98,0)</f>
        <v>0.886266094420601</v>
      </c>
      <c r="G98" s="31" t="n">
        <f aca="false">IFERROR(COUNTIFS(Transaction_Data!$D$2:$D$5000,"&gt;="&amp;$S$5,Transaction_Data!$D$2:$D$5000,"&lt;"&amp;$S$6,Transaction_Data!$H$2:$H$5000,$S$4,Transaction_Data!$G$2:$G$5000,$B98,Transaction_Data!$J$2:$J$5000,"Failed")/C98,0)</f>
        <v>0.0751072961373391</v>
      </c>
      <c r="H98" s="31" t="n">
        <f aca="false">IFERROR(COUNTIFS(Transaction_Data!$D$2:$D$5000,"&gt;="&amp;$S$5,Transaction_Data!$D$2:$D$5000,"&lt;"&amp;$S$6,Transaction_Data!$H$2:$H$5000,$S$4,Transaction_Data!$G$2:$G$5000,$B98,Transaction_Data!$J$2:$J$5000,"Pending")/C98,0)</f>
        <v>0.0386266094420601</v>
      </c>
      <c r="J98" s="42" t="n">
        <v>10</v>
      </c>
      <c r="K98" s="34" t="str">
        <f aca="false">INDEX($J$103:$J$132,MATCH(LARGE($M$103:$M$132,$J98),$M$103:$M$132,0))</f>
        <v>Park Street</v>
      </c>
      <c r="L98" s="34" t="str">
        <f aca="false">INDEX($K$103:$K$132,MATCH(LARGE($M$103:$M$132,$J98),$M$103:$M$132,0))</f>
        <v>Kolkata</v>
      </c>
      <c r="M98" s="35" t="n">
        <f aca="false">INDEX($L$103:$L$132,MATCH(LARGE($M$103:$M$132,$J98),$M$103:$M$132,0))</f>
        <v>94</v>
      </c>
      <c r="N98" s="36" t="n">
        <f aca="false">INDEX($M$103:$M$132,MATCH(LARGE($M$103:$M$132,$J98),$M$103:$M$132,0))</f>
        <v>92.3221075</v>
      </c>
    </row>
    <row r="99" customFormat="false" ht="15" hidden="false" customHeight="false" outlineLevel="0" collapsed="false">
      <c r="B99" s="38" t="s">
        <v>57</v>
      </c>
      <c r="C99" s="35" t="n">
        <f aca="false">COUNTIFS(Transaction_Data!$D$2:$D$5000,"&gt;="&amp;$S$5,Transaction_Data!$D$2:$D$5000,"&lt;"&amp;$S$6,Transaction_Data!$H$2:$H$5000,$S$4,Transaction_Data!$G$2:$G$5000,$B99)</f>
        <v>531</v>
      </c>
      <c r="D99" s="36" t="n">
        <f aca="false">SUMIFS(Transaction_Data!$F$2:$F$5000,Transaction_Data!$D$2:$D$5000,"&gt;="&amp;$S$5,Transaction_Data!$D$2:$D$5000,"&lt;"&amp;$S$6,Transaction_Data!$H$2:$H$5000,$S$4,Transaction_Data!$G$2:$G$5000,$B99)/100000</f>
        <v>543.4630808</v>
      </c>
      <c r="E99" s="40" t="n">
        <f aca="false">IFERROR(SUMIFS(Transaction_Data!$F$2:$F$5000,Transaction_Data!$D$2:$D$5000,"&gt;="&amp;$S$5,Transaction_Data!$D$2:$D$5000,"&lt;"&amp;$S$6,Transaction_Data!$H$2:$H$5000,$S$4,Transaction_Data!$G$2:$G$5000,$B99)/C99,0)</f>
        <v>102347.096195857</v>
      </c>
      <c r="F99" s="37" t="n">
        <f aca="false">IFERROR(COUNTIFS(Transaction_Data!$D$2:$D$5000,"&gt;="&amp;$S$5,Transaction_Data!$D$2:$D$5000,"&lt;"&amp;$S$6,Transaction_Data!$H$2:$H$5000,$S$4,Transaction_Data!$G$2:$G$5000,$B99,Transaction_Data!$J$2:$J$5000,"Success")/C99,0)</f>
        <v>0.887005649717514</v>
      </c>
      <c r="G99" s="37" t="n">
        <f aca="false">IFERROR(COUNTIFS(Transaction_Data!$D$2:$D$5000,"&gt;="&amp;$S$5,Transaction_Data!$D$2:$D$5000,"&lt;"&amp;$S$6,Transaction_Data!$H$2:$H$5000,$S$4,Transaction_Data!$G$2:$G$5000,$B99,Transaction_Data!$J$2:$J$5000,"Failed")/C99,0)</f>
        <v>0.0696798493408663</v>
      </c>
      <c r="H99" s="37" t="n">
        <f aca="false">IFERROR(COUNTIFS(Transaction_Data!$D$2:$D$5000,"&gt;="&amp;$S$5,Transaction_Data!$D$2:$D$5000,"&lt;"&amp;$S$6,Transaction_Data!$H$2:$H$5000,$S$4,Transaction_Data!$G$2:$G$5000,$B99,Transaction_Data!$J$2:$J$5000,"Pending")/C99,0)</f>
        <v>0.0433145009416196</v>
      </c>
    </row>
    <row r="100" customFormat="false" ht="15" hidden="false" customHeight="false" outlineLevel="0" collapsed="false">
      <c r="B100" s="32" t="s">
        <v>65</v>
      </c>
      <c r="C100" s="29" t="n">
        <f aca="false">COUNTIFS(Transaction_Data!$D$2:$D$5000,"&gt;="&amp;$S$5,Transaction_Data!$D$2:$D$5000,"&lt;"&amp;$S$6,Transaction_Data!$H$2:$H$5000,$S$4,Transaction_Data!$G$2:$G$5000,$B100)</f>
        <v>508</v>
      </c>
      <c r="D100" s="30" t="n">
        <f aca="false">SUMIFS(Transaction_Data!$F$2:$F$5000,Transaction_Data!$D$2:$D$5000,"&gt;="&amp;$S$5,Transaction_Data!$D$2:$D$5000,"&lt;"&amp;$S$6,Transaction_Data!$H$2:$H$5000,$S$4,Transaction_Data!$G$2:$G$5000,$B100)/100000</f>
        <v>503.1722721</v>
      </c>
      <c r="E100" s="39" t="n">
        <f aca="false">IFERROR(SUMIFS(Transaction_Data!$F$2:$F$5000,Transaction_Data!$D$2:$D$5000,"&gt;="&amp;$S$5,Transaction_Data!$D$2:$D$5000,"&lt;"&amp;$S$6,Transaction_Data!$H$2:$H$5000,$S$4,Transaction_Data!$G$2:$G$5000,$B100)/C100,0)</f>
        <v>99049.6598622047</v>
      </c>
      <c r="F100" s="31" t="n">
        <f aca="false">IFERROR(COUNTIFS(Transaction_Data!$D$2:$D$5000,"&gt;="&amp;$S$5,Transaction_Data!$D$2:$D$5000,"&lt;"&amp;$S$6,Transaction_Data!$H$2:$H$5000,$S$4,Transaction_Data!$G$2:$G$5000,$B100,Transaction_Data!$J$2:$J$5000,"Success")/C100,0)</f>
        <v>0.877952755905512</v>
      </c>
      <c r="G100" s="31" t="n">
        <f aca="false">IFERROR(COUNTIFS(Transaction_Data!$D$2:$D$5000,"&gt;="&amp;$S$5,Transaction_Data!$D$2:$D$5000,"&lt;"&amp;$S$6,Transaction_Data!$H$2:$H$5000,$S$4,Transaction_Data!$G$2:$G$5000,$B100,Transaction_Data!$J$2:$J$5000,"Failed")/C100,0)</f>
        <v>0.0885826771653543</v>
      </c>
      <c r="H100" s="31" t="n">
        <f aca="false">IFERROR(COUNTIFS(Transaction_Data!$D$2:$D$5000,"&gt;="&amp;$S$5,Transaction_Data!$D$2:$D$5000,"&lt;"&amp;$S$6,Transaction_Data!$H$2:$H$5000,$S$4,Transaction_Data!$G$2:$G$5000,$B100,Transaction_Data!$J$2:$J$5000,"Pending")/C100,0)</f>
        <v>0.0334645669291339</v>
      </c>
    </row>
    <row r="101" customFormat="false" ht="15" hidden="false" customHeight="false" outlineLevel="0" collapsed="false">
      <c r="B101" s="38" t="s">
        <v>66</v>
      </c>
      <c r="C101" s="35" t="n">
        <f aca="false">COUNTIFS(Transaction_Data!$D$2:$D$5000,"&gt;="&amp;$S$5,Transaction_Data!$D$2:$D$5000,"&lt;"&amp;$S$6,Transaction_Data!$H$2:$H$5000,$S$4,Transaction_Data!$G$2:$G$5000,$B101)</f>
        <v>506</v>
      </c>
      <c r="D101" s="36" t="n">
        <f aca="false">SUMIFS(Transaction_Data!$F$2:$F$5000,Transaction_Data!$D$2:$D$5000,"&gt;="&amp;$S$5,Transaction_Data!$D$2:$D$5000,"&lt;"&amp;$S$6,Transaction_Data!$H$2:$H$5000,$S$4,Transaction_Data!$G$2:$G$5000,$B101)/100000</f>
        <v>513.054079</v>
      </c>
      <c r="E101" s="40" t="n">
        <f aca="false">IFERROR(SUMIFS(Transaction_Data!$F$2:$F$5000,Transaction_Data!$D$2:$D$5000,"&gt;="&amp;$S$5,Transaction_Data!$D$2:$D$5000,"&lt;"&amp;$S$6,Transaction_Data!$H$2:$H$5000,$S$4,Transaction_Data!$G$2:$G$5000,$B101)/C101,0)</f>
        <v>101394.086758893</v>
      </c>
      <c r="F101" s="37" t="n">
        <f aca="false">IFERROR(COUNTIFS(Transaction_Data!$D$2:$D$5000,"&gt;="&amp;$S$5,Transaction_Data!$D$2:$D$5000,"&lt;"&amp;$S$6,Transaction_Data!$H$2:$H$5000,$S$4,Transaction_Data!$G$2:$G$5000,$B101,Transaction_Data!$J$2:$J$5000,"Success")/C101,0)</f>
        <v>0.881422924901186</v>
      </c>
      <c r="G101" s="37" t="n">
        <f aca="false">IFERROR(COUNTIFS(Transaction_Data!$D$2:$D$5000,"&gt;="&amp;$S$5,Transaction_Data!$D$2:$D$5000,"&lt;"&amp;$S$6,Transaction_Data!$H$2:$H$5000,$S$4,Transaction_Data!$G$2:$G$5000,$B101,Transaction_Data!$J$2:$J$5000,"Failed")/C101,0)</f>
        <v>0.0909090909090909</v>
      </c>
      <c r="H101" s="37" t="n">
        <f aca="false">IFERROR(COUNTIFS(Transaction_Data!$D$2:$D$5000,"&gt;="&amp;$S$5,Transaction_Data!$D$2:$D$5000,"&lt;"&amp;$S$6,Transaction_Data!$H$2:$H$5000,$S$4,Transaction_Data!$G$2:$G$5000,$B101,Transaction_Data!$J$2:$J$5000,"Pending")/C101,0)</f>
        <v>0.0276679841897233</v>
      </c>
      <c r="J101" s="24" t="s">
        <v>67</v>
      </c>
      <c r="K101" s="25"/>
      <c r="L101" s="25"/>
      <c r="M101" s="25"/>
      <c r="N101" s="25"/>
    </row>
    <row r="102" customFormat="false" ht="25.5" hidden="false" customHeight="true" outlineLevel="0" collapsed="false">
      <c r="B102" s="32" t="s">
        <v>68</v>
      </c>
      <c r="C102" s="29" t="n">
        <f aca="false">COUNTIFS(Transaction_Data!$D$2:$D$5000,"&gt;="&amp;$S$5,Transaction_Data!$D$2:$D$5000,"&lt;"&amp;$S$6,Transaction_Data!$H$2:$H$5000,$S$4,Transaction_Data!$G$2:$G$5000,$B102)</f>
        <v>489</v>
      </c>
      <c r="D102" s="30" t="n">
        <f aca="false">SUMIFS(Transaction_Data!$F$2:$F$5000,Transaction_Data!$D$2:$D$5000,"&gt;="&amp;$S$5,Transaction_Data!$D$2:$D$5000,"&lt;"&amp;$S$6,Transaction_Data!$H$2:$H$5000,$S$4,Transaction_Data!$G$2:$G$5000,$B102)/100000</f>
        <v>474.7322114</v>
      </c>
      <c r="E102" s="39" t="n">
        <f aca="false">IFERROR(SUMIFS(Transaction_Data!$F$2:$F$5000,Transaction_Data!$D$2:$D$5000,"&gt;="&amp;$S$5,Transaction_Data!$D$2:$D$5000,"&lt;"&amp;$S$6,Transaction_Data!$H$2:$H$5000,$S$4,Transaction_Data!$G$2:$G$5000,$B102)/C102,0)</f>
        <v>97082.2518200409</v>
      </c>
      <c r="F102" s="31" t="n">
        <f aca="false">IFERROR(COUNTIFS(Transaction_Data!$D$2:$D$5000,"&gt;="&amp;$S$5,Transaction_Data!$D$2:$D$5000,"&lt;"&amp;$S$6,Transaction_Data!$H$2:$H$5000,$S$4,Transaction_Data!$G$2:$G$5000,$B102,Transaction_Data!$J$2:$J$5000,"Success")/C102,0)</f>
        <v>0.889570552147239</v>
      </c>
      <c r="G102" s="31" t="n">
        <f aca="false">IFERROR(COUNTIFS(Transaction_Data!$D$2:$D$5000,"&gt;="&amp;$S$5,Transaction_Data!$D$2:$D$5000,"&lt;"&amp;$S$6,Transaction_Data!$H$2:$H$5000,$S$4,Transaction_Data!$G$2:$G$5000,$B102,Transaction_Data!$J$2:$J$5000,"Failed")/C102,0)</f>
        <v>0.0695296523517383</v>
      </c>
      <c r="H102" s="31" t="n">
        <f aca="false">IFERROR(COUNTIFS(Transaction_Data!$D$2:$D$5000,"&gt;="&amp;$S$5,Transaction_Data!$D$2:$D$5000,"&lt;"&amp;$S$6,Transaction_Data!$H$2:$H$5000,$S$4,Transaction_Data!$G$2:$G$5000,$B102,Transaction_Data!$J$2:$J$5000,"Pending")/C102,0)</f>
        <v>0.0408997955010225</v>
      </c>
      <c r="J102" s="26" t="s">
        <v>57</v>
      </c>
      <c r="K102" s="26" t="s">
        <v>36</v>
      </c>
      <c r="L102" s="26" t="s">
        <v>69</v>
      </c>
      <c r="M102" s="26" t="s">
        <v>24</v>
      </c>
      <c r="N102" s="26" t="s">
        <v>70</v>
      </c>
    </row>
    <row r="103" customFormat="false" ht="15" hidden="false" customHeight="false" outlineLevel="0" collapsed="false">
      <c r="J103" s="28" t="str">
        <f aca="false">Branch_Data!C2</f>
        <v>Delhi Central</v>
      </c>
      <c r="K103" s="28" t="str">
        <f aca="false">Branch_Data!B2</f>
        <v>Delhi</v>
      </c>
      <c r="L103" s="29" t="n">
        <f aca="false">COUNTIFS(Transaction_Data!$D$2:$D$5000,"&gt;="&amp;$S$5,Transaction_Data!$D$2:$D$5000,"&lt;"&amp;$S$6,Transaction_Data!$H$2:$H$5000,$S$4,Transaction_Data!$I$2:$I$5000,$J103)</f>
        <v>66</v>
      </c>
      <c r="M103" s="30" t="n">
        <f aca="false">SUMIFS(Transaction_Data!$F$2:$F$5000,Transaction_Data!$D$2:$D$5000,"&gt;="&amp;$S$5,Transaction_Data!$D$2:$D$5000,"&lt;"&amp;$S$6,Transaction_Data!$H$2:$H$5000,$S$4,Transaction_Data!$I$2:$I$5000,$J103)/100000</f>
        <v>74.2351026</v>
      </c>
      <c r="N103" s="43" t="n">
        <f aca="false">M103+ROW()/10000000</f>
        <v>74.2351129</v>
      </c>
    </row>
    <row r="104" customFormat="false" ht="15" hidden="false" customHeight="false" outlineLevel="0" collapsed="false">
      <c r="J104" s="34" t="str">
        <f aca="false">Branch_Data!C3</f>
        <v>Rohini</v>
      </c>
      <c r="K104" s="34" t="str">
        <f aca="false">Branch_Data!B3</f>
        <v>Delhi</v>
      </c>
      <c r="L104" s="35" t="n">
        <f aca="false">COUNTIFS(Transaction_Data!$D$2:$D$5000,"&gt;="&amp;$S$5,Transaction_Data!$D$2:$D$5000,"&lt;"&amp;$S$6,Transaction_Data!$H$2:$H$5000,$S$4,Transaction_Data!$I$2:$I$5000,$J104)</f>
        <v>78</v>
      </c>
      <c r="M104" s="36" t="n">
        <f aca="false">SUMIFS(Transaction_Data!$F$2:$F$5000,Transaction_Data!$D$2:$D$5000,"&gt;="&amp;$S$5,Transaction_Data!$D$2:$D$5000,"&lt;"&amp;$S$6,Transaction_Data!$H$2:$H$5000,$S$4,Transaction_Data!$I$2:$I$5000,$J104)/100000</f>
        <v>90.6483495</v>
      </c>
      <c r="N104" s="44" t="n">
        <f aca="false">M104+ROW()/10000000</f>
        <v>90.6483599</v>
      </c>
    </row>
    <row r="105" customFormat="false" ht="15" hidden="false" customHeight="false" outlineLevel="0" collapsed="false">
      <c r="J105" s="28" t="str">
        <f aca="false">Branch_Data!C4</f>
        <v>Dwarka</v>
      </c>
      <c r="K105" s="28" t="str">
        <f aca="false">Branch_Data!B4</f>
        <v>Delhi</v>
      </c>
      <c r="L105" s="29" t="n">
        <f aca="false">COUNTIFS(Transaction_Data!$D$2:$D$5000,"&gt;="&amp;$S$5,Transaction_Data!$D$2:$D$5000,"&lt;"&amp;$S$6,Transaction_Data!$H$2:$H$5000,$S$4,Transaction_Data!$I$2:$I$5000,$J105)</f>
        <v>59</v>
      </c>
      <c r="M105" s="30" t="n">
        <f aca="false">SUMIFS(Transaction_Data!$F$2:$F$5000,Transaction_Data!$D$2:$D$5000,"&gt;="&amp;$S$5,Transaction_Data!$D$2:$D$5000,"&lt;"&amp;$S$6,Transaction_Data!$H$2:$H$5000,$S$4,Transaction_Data!$I$2:$I$5000,$J105)/100000</f>
        <v>57.8186565</v>
      </c>
      <c r="N105" s="43" t="n">
        <f aca="false">M105+ROW()/10000000</f>
        <v>57.818667</v>
      </c>
    </row>
    <row r="106" customFormat="false" ht="15" hidden="false" customHeight="false" outlineLevel="0" collapsed="false">
      <c r="J106" s="34" t="str">
        <f aca="false">Branch_Data!C5</f>
        <v>Andheri</v>
      </c>
      <c r="K106" s="34" t="str">
        <f aca="false">Branch_Data!B5</f>
        <v>Mumbai</v>
      </c>
      <c r="L106" s="35" t="n">
        <f aca="false">COUNTIFS(Transaction_Data!$D$2:$D$5000,"&gt;="&amp;$S$5,Transaction_Data!$D$2:$D$5000,"&lt;"&amp;$S$6,Transaction_Data!$H$2:$H$5000,$S$4,Transaction_Data!$I$2:$I$5000,$J106)</f>
        <v>63</v>
      </c>
      <c r="M106" s="36" t="n">
        <f aca="false">SUMIFS(Transaction_Data!$F$2:$F$5000,Transaction_Data!$D$2:$D$5000,"&gt;="&amp;$S$5,Transaction_Data!$D$2:$D$5000,"&lt;"&amp;$S$6,Transaction_Data!$H$2:$H$5000,$S$4,Transaction_Data!$I$2:$I$5000,$J106)/100000</f>
        <v>69.6536152</v>
      </c>
      <c r="N106" s="44" t="n">
        <f aca="false">M106+ROW()/10000000</f>
        <v>69.6536258</v>
      </c>
    </row>
    <row r="107" customFormat="false" ht="15" hidden="false" customHeight="false" outlineLevel="0" collapsed="false">
      <c r="J107" s="28" t="str">
        <f aca="false">Branch_Data!C6</f>
        <v>Bandra</v>
      </c>
      <c r="K107" s="28" t="str">
        <f aca="false">Branch_Data!B6</f>
        <v>Mumbai</v>
      </c>
      <c r="L107" s="29" t="n">
        <f aca="false">COUNTIFS(Transaction_Data!$D$2:$D$5000,"&gt;="&amp;$S$5,Transaction_Data!$D$2:$D$5000,"&lt;"&amp;$S$6,Transaction_Data!$H$2:$H$5000,$S$4,Transaction_Data!$I$2:$I$5000,$J107)</f>
        <v>113</v>
      </c>
      <c r="M107" s="30" t="n">
        <f aca="false">SUMIFS(Transaction_Data!$F$2:$F$5000,Transaction_Data!$D$2:$D$5000,"&gt;="&amp;$S$5,Transaction_Data!$D$2:$D$5000,"&lt;"&amp;$S$6,Transaction_Data!$H$2:$H$5000,$S$4,Transaction_Data!$I$2:$I$5000,$J107)/100000</f>
        <v>114.704305</v>
      </c>
      <c r="N107" s="43" t="n">
        <f aca="false">M107+ROW()/10000000</f>
        <v>114.7043157</v>
      </c>
    </row>
    <row r="108" customFormat="false" ht="15" hidden="false" customHeight="false" outlineLevel="0" collapsed="false">
      <c r="J108" s="34" t="str">
        <f aca="false">Branch_Data!C7</f>
        <v>Thane</v>
      </c>
      <c r="K108" s="34" t="str">
        <f aca="false">Branch_Data!B7</f>
        <v>Mumbai</v>
      </c>
      <c r="L108" s="35" t="n">
        <f aca="false">COUNTIFS(Transaction_Data!$D$2:$D$5000,"&gt;="&amp;$S$5,Transaction_Data!$D$2:$D$5000,"&lt;"&amp;$S$6,Transaction_Data!$H$2:$H$5000,$S$4,Transaction_Data!$I$2:$I$5000,$J108)</f>
        <v>82</v>
      </c>
      <c r="M108" s="36" t="n">
        <f aca="false">SUMIFS(Transaction_Data!$F$2:$F$5000,Transaction_Data!$D$2:$D$5000,"&gt;="&amp;$S$5,Transaction_Data!$D$2:$D$5000,"&lt;"&amp;$S$6,Transaction_Data!$H$2:$H$5000,$S$4,Transaction_Data!$I$2:$I$5000,$J108)/100000</f>
        <v>82.4993676</v>
      </c>
      <c r="N108" s="44" t="n">
        <f aca="false">M108+ROW()/10000000</f>
        <v>82.4993784</v>
      </c>
    </row>
    <row r="109" customFormat="false" ht="15" hidden="false" customHeight="false" outlineLevel="0" collapsed="false">
      <c r="J109" s="28" t="str">
        <f aca="false">Branch_Data!C8</f>
        <v>Whitefield</v>
      </c>
      <c r="K109" s="28" t="str">
        <f aca="false">Branch_Data!B8</f>
        <v>Bengaluru</v>
      </c>
      <c r="L109" s="29" t="n">
        <f aca="false">COUNTIFS(Transaction_Data!$D$2:$D$5000,"&gt;="&amp;$S$5,Transaction_Data!$D$2:$D$5000,"&lt;"&amp;$S$6,Transaction_Data!$H$2:$H$5000,$S$4,Transaction_Data!$I$2:$I$5000,$J109)</f>
        <v>106</v>
      </c>
      <c r="M109" s="30" t="n">
        <f aca="false">SUMIFS(Transaction_Data!$F$2:$F$5000,Transaction_Data!$D$2:$D$5000,"&gt;="&amp;$S$5,Transaction_Data!$D$2:$D$5000,"&lt;"&amp;$S$6,Transaction_Data!$H$2:$H$5000,$S$4,Transaction_Data!$I$2:$I$5000,$J109)/100000</f>
        <v>106.8413679</v>
      </c>
      <c r="N109" s="43" t="n">
        <f aca="false">M109+ROW()/10000000</f>
        <v>106.8413788</v>
      </c>
    </row>
    <row r="110" customFormat="false" ht="15" hidden="false" customHeight="false" outlineLevel="0" collapsed="false">
      <c r="J110" s="34" t="str">
        <f aca="false">Branch_Data!C9</f>
        <v>Electronic City</v>
      </c>
      <c r="K110" s="34" t="str">
        <f aca="false">Branch_Data!B9</f>
        <v>Bengaluru</v>
      </c>
      <c r="L110" s="35" t="n">
        <f aca="false">COUNTIFS(Transaction_Data!$D$2:$D$5000,"&gt;="&amp;$S$5,Transaction_Data!$D$2:$D$5000,"&lt;"&amp;$S$6,Transaction_Data!$H$2:$H$5000,$S$4,Transaction_Data!$I$2:$I$5000,$J110)</f>
        <v>94</v>
      </c>
      <c r="M110" s="36" t="n">
        <f aca="false">SUMIFS(Transaction_Data!$F$2:$F$5000,Transaction_Data!$D$2:$D$5000,"&gt;="&amp;$S$5,Transaction_Data!$D$2:$D$5000,"&lt;"&amp;$S$6,Transaction_Data!$H$2:$H$5000,$S$4,Transaction_Data!$I$2:$I$5000,$J110)/100000</f>
        <v>93.0850763</v>
      </c>
      <c r="N110" s="44" t="n">
        <f aca="false">M110+ROW()/10000000</f>
        <v>93.0850873</v>
      </c>
    </row>
    <row r="111" customFormat="false" ht="15" hidden="false" customHeight="false" outlineLevel="0" collapsed="false">
      <c r="J111" s="28" t="str">
        <f aca="false">Branch_Data!C10</f>
        <v>MG Road</v>
      </c>
      <c r="K111" s="28" t="str">
        <f aca="false">Branch_Data!B10</f>
        <v>Bengaluru</v>
      </c>
      <c r="L111" s="29" t="n">
        <f aca="false">COUNTIFS(Transaction_Data!$D$2:$D$5000,"&gt;="&amp;$S$5,Transaction_Data!$D$2:$D$5000,"&lt;"&amp;$S$6,Transaction_Data!$H$2:$H$5000,$S$4,Transaction_Data!$I$2:$I$5000,$J111)</f>
        <v>83</v>
      </c>
      <c r="M111" s="30" t="n">
        <f aca="false">SUMIFS(Transaction_Data!$F$2:$F$5000,Transaction_Data!$D$2:$D$5000,"&gt;="&amp;$S$5,Transaction_Data!$D$2:$D$5000,"&lt;"&amp;$S$6,Transaction_Data!$H$2:$H$5000,$S$4,Transaction_Data!$I$2:$I$5000,$J111)/100000</f>
        <v>81.5758514</v>
      </c>
      <c r="N111" s="43" t="n">
        <f aca="false">M111+ROW()/10000000</f>
        <v>81.5758625</v>
      </c>
    </row>
    <row r="112" customFormat="false" ht="15" hidden="false" customHeight="false" outlineLevel="0" collapsed="false">
      <c r="J112" s="34" t="str">
        <f aca="false">Branch_Data!C11</f>
        <v>Hitech City</v>
      </c>
      <c r="K112" s="34" t="str">
        <f aca="false">Branch_Data!B11</f>
        <v>Hyderabad</v>
      </c>
      <c r="L112" s="35" t="n">
        <f aca="false">COUNTIFS(Transaction_Data!$D$2:$D$5000,"&gt;="&amp;$S$5,Transaction_Data!$D$2:$D$5000,"&lt;"&amp;$S$6,Transaction_Data!$H$2:$H$5000,$S$4,Transaction_Data!$I$2:$I$5000,$J112)</f>
        <v>67</v>
      </c>
      <c r="M112" s="36" t="n">
        <f aca="false">SUMIFS(Transaction_Data!$F$2:$F$5000,Transaction_Data!$D$2:$D$5000,"&gt;="&amp;$S$5,Transaction_Data!$D$2:$D$5000,"&lt;"&amp;$S$6,Transaction_Data!$H$2:$H$5000,$S$4,Transaction_Data!$I$2:$I$5000,$J112)/100000</f>
        <v>66.3680267</v>
      </c>
      <c r="N112" s="44" t="n">
        <f aca="false">M112+ROW()/10000000</f>
        <v>66.3680379</v>
      </c>
    </row>
    <row r="113" customFormat="false" ht="15" hidden="false" customHeight="false" outlineLevel="0" collapsed="false">
      <c r="J113" s="28" t="str">
        <f aca="false">Branch_Data!C12</f>
        <v>Secunderabad</v>
      </c>
      <c r="K113" s="28" t="str">
        <f aca="false">Branch_Data!B12</f>
        <v>Hyderabad</v>
      </c>
      <c r="L113" s="29" t="n">
        <f aca="false">COUNTIFS(Transaction_Data!$D$2:$D$5000,"&gt;="&amp;$S$5,Transaction_Data!$D$2:$D$5000,"&lt;"&amp;$S$6,Transaction_Data!$H$2:$H$5000,$S$4,Transaction_Data!$I$2:$I$5000,$J113)</f>
        <v>50</v>
      </c>
      <c r="M113" s="30" t="n">
        <f aca="false">SUMIFS(Transaction_Data!$F$2:$F$5000,Transaction_Data!$D$2:$D$5000,"&gt;="&amp;$S$5,Transaction_Data!$D$2:$D$5000,"&lt;"&amp;$S$6,Transaction_Data!$H$2:$H$5000,$S$4,Transaction_Data!$I$2:$I$5000,$J113)/100000</f>
        <v>42.2821713</v>
      </c>
      <c r="N113" s="43" t="n">
        <f aca="false">M113+ROW()/10000000</f>
        <v>42.2821826</v>
      </c>
    </row>
    <row r="114" customFormat="false" ht="15" hidden="false" customHeight="false" outlineLevel="0" collapsed="false">
      <c r="J114" s="34" t="str">
        <f aca="false">Branch_Data!C13</f>
        <v>Banjara Hills</v>
      </c>
      <c r="K114" s="34" t="str">
        <f aca="false">Branch_Data!B13</f>
        <v>Hyderabad</v>
      </c>
      <c r="L114" s="35" t="n">
        <f aca="false">COUNTIFS(Transaction_Data!$D$2:$D$5000,"&gt;="&amp;$S$5,Transaction_Data!$D$2:$D$5000,"&lt;"&amp;$S$6,Transaction_Data!$H$2:$H$5000,$S$4,Transaction_Data!$I$2:$I$5000,$J114)</f>
        <v>85</v>
      </c>
      <c r="M114" s="36" t="n">
        <f aca="false">SUMIFS(Transaction_Data!$F$2:$F$5000,Transaction_Data!$D$2:$D$5000,"&gt;="&amp;$S$5,Transaction_Data!$D$2:$D$5000,"&lt;"&amp;$S$6,Transaction_Data!$H$2:$H$5000,$S$4,Transaction_Data!$I$2:$I$5000,$J114)/100000</f>
        <v>78.7469965</v>
      </c>
      <c r="N114" s="44" t="n">
        <f aca="false">M114+ROW()/10000000</f>
        <v>78.7470079</v>
      </c>
    </row>
    <row r="115" customFormat="false" ht="15" hidden="false" customHeight="false" outlineLevel="0" collapsed="false">
      <c r="J115" s="28" t="str">
        <f aca="false">Branch_Data!C14</f>
        <v>Hinjewadi</v>
      </c>
      <c r="K115" s="28" t="str">
        <f aca="false">Branch_Data!B14</f>
        <v>Pune</v>
      </c>
      <c r="L115" s="29" t="n">
        <f aca="false">COUNTIFS(Transaction_Data!$D$2:$D$5000,"&gt;="&amp;$S$5,Transaction_Data!$D$2:$D$5000,"&lt;"&amp;$S$6,Transaction_Data!$H$2:$H$5000,$S$4,Transaction_Data!$I$2:$I$5000,$J115)</f>
        <v>78</v>
      </c>
      <c r="M115" s="30" t="n">
        <f aca="false">SUMIFS(Transaction_Data!$F$2:$F$5000,Transaction_Data!$D$2:$D$5000,"&gt;="&amp;$S$5,Transaction_Data!$D$2:$D$5000,"&lt;"&amp;$S$6,Transaction_Data!$H$2:$H$5000,$S$4,Transaction_Data!$I$2:$I$5000,$J115)/100000</f>
        <v>75.8953103</v>
      </c>
      <c r="N115" s="43" t="n">
        <f aca="false">M115+ROW()/10000000</f>
        <v>75.8953218</v>
      </c>
    </row>
    <row r="116" customFormat="false" ht="15" hidden="false" customHeight="false" outlineLevel="0" collapsed="false">
      <c r="J116" s="34" t="str">
        <f aca="false">Branch_Data!C15</f>
        <v>Kothrud</v>
      </c>
      <c r="K116" s="34" t="str">
        <f aca="false">Branch_Data!B15</f>
        <v>Pune</v>
      </c>
      <c r="L116" s="35" t="n">
        <f aca="false">COUNTIFS(Transaction_Data!$D$2:$D$5000,"&gt;="&amp;$S$5,Transaction_Data!$D$2:$D$5000,"&lt;"&amp;$S$6,Transaction_Data!$H$2:$H$5000,$S$4,Transaction_Data!$I$2:$I$5000,$J116)</f>
        <v>76</v>
      </c>
      <c r="M116" s="36" t="n">
        <f aca="false">SUMIFS(Transaction_Data!$F$2:$F$5000,Transaction_Data!$D$2:$D$5000,"&gt;="&amp;$S$5,Transaction_Data!$D$2:$D$5000,"&lt;"&amp;$S$6,Transaction_Data!$H$2:$H$5000,$S$4,Transaction_Data!$I$2:$I$5000,$J116)/100000</f>
        <v>70.5369296</v>
      </c>
      <c r="N116" s="44" t="n">
        <f aca="false">M116+ROW()/10000000</f>
        <v>70.5369412</v>
      </c>
    </row>
    <row r="117" customFormat="false" ht="15" hidden="false" customHeight="false" outlineLevel="0" collapsed="false">
      <c r="J117" s="28" t="str">
        <f aca="false">Branch_Data!C16</f>
        <v>Camp</v>
      </c>
      <c r="K117" s="28" t="str">
        <f aca="false">Branch_Data!B16</f>
        <v>Pune</v>
      </c>
      <c r="L117" s="29" t="n">
        <f aca="false">COUNTIFS(Transaction_Data!$D$2:$D$5000,"&gt;="&amp;$S$5,Transaction_Data!$D$2:$D$5000,"&lt;"&amp;$S$6,Transaction_Data!$H$2:$H$5000,$S$4,Transaction_Data!$I$2:$I$5000,$J117)</f>
        <v>86</v>
      </c>
      <c r="M117" s="30" t="n">
        <f aca="false">SUMIFS(Transaction_Data!$F$2:$F$5000,Transaction_Data!$D$2:$D$5000,"&gt;="&amp;$S$5,Transaction_Data!$D$2:$D$5000,"&lt;"&amp;$S$6,Transaction_Data!$H$2:$H$5000,$S$4,Transaction_Data!$I$2:$I$5000,$J117)/100000</f>
        <v>85.5049296</v>
      </c>
      <c r="N117" s="43" t="n">
        <f aca="false">M117+ROW()/10000000</f>
        <v>85.5049413</v>
      </c>
    </row>
    <row r="118" customFormat="false" ht="15" hidden="false" customHeight="false" outlineLevel="0" collapsed="false">
      <c r="J118" s="34" t="str">
        <f aca="false">Branch_Data!C17</f>
        <v>Hazratganj</v>
      </c>
      <c r="K118" s="34" t="str">
        <f aca="false">Branch_Data!B17</f>
        <v>Lucknow</v>
      </c>
      <c r="L118" s="35" t="n">
        <f aca="false">COUNTIFS(Transaction_Data!$D$2:$D$5000,"&gt;="&amp;$S$5,Transaction_Data!$D$2:$D$5000,"&lt;"&amp;$S$6,Transaction_Data!$H$2:$H$5000,$S$4,Transaction_Data!$I$2:$I$5000,$J118)</f>
        <v>67</v>
      </c>
      <c r="M118" s="36" t="n">
        <f aca="false">SUMIFS(Transaction_Data!$F$2:$F$5000,Transaction_Data!$D$2:$D$5000,"&gt;="&amp;$S$5,Transaction_Data!$D$2:$D$5000,"&lt;"&amp;$S$6,Transaction_Data!$H$2:$H$5000,$S$4,Transaction_Data!$I$2:$I$5000,$J118)/100000</f>
        <v>66.7331267</v>
      </c>
      <c r="N118" s="44" t="n">
        <f aca="false">M118+ROW()/10000000</f>
        <v>66.7331385</v>
      </c>
    </row>
    <row r="119" customFormat="false" ht="15" hidden="false" customHeight="false" outlineLevel="0" collapsed="false">
      <c r="J119" s="28" t="str">
        <f aca="false">Branch_Data!C18</f>
        <v>Gomti Nagar</v>
      </c>
      <c r="K119" s="28" t="str">
        <f aca="false">Branch_Data!B18</f>
        <v>Lucknow</v>
      </c>
      <c r="L119" s="29" t="n">
        <f aca="false">COUNTIFS(Transaction_Data!$D$2:$D$5000,"&gt;="&amp;$S$5,Transaction_Data!$D$2:$D$5000,"&lt;"&amp;$S$6,Transaction_Data!$H$2:$H$5000,$S$4,Transaction_Data!$I$2:$I$5000,$J119)</f>
        <v>102</v>
      </c>
      <c r="M119" s="30" t="n">
        <f aca="false">SUMIFS(Transaction_Data!$F$2:$F$5000,Transaction_Data!$D$2:$D$5000,"&gt;="&amp;$S$5,Transaction_Data!$D$2:$D$5000,"&lt;"&amp;$S$6,Transaction_Data!$H$2:$H$5000,$S$4,Transaction_Data!$I$2:$I$5000,$J119)/100000</f>
        <v>96.9345302</v>
      </c>
      <c r="N119" s="43" t="n">
        <f aca="false">M119+ROW()/10000000</f>
        <v>96.9345421</v>
      </c>
    </row>
    <row r="120" customFormat="false" ht="15" hidden="false" customHeight="false" outlineLevel="0" collapsed="false">
      <c r="J120" s="34" t="str">
        <f aca="false">Branch_Data!C19</f>
        <v>Aliganj</v>
      </c>
      <c r="K120" s="34" t="str">
        <f aca="false">Branch_Data!B19</f>
        <v>Lucknow</v>
      </c>
      <c r="L120" s="35" t="n">
        <f aca="false">COUNTIFS(Transaction_Data!$D$2:$D$5000,"&gt;="&amp;$S$5,Transaction_Data!$D$2:$D$5000,"&lt;"&amp;$S$6,Transaction_Data!$H$2:$H$5000,$S$4,Transaction_Data!$I$2:$I$5000,$J120)</f>
        <v>75</v>
      </c>
      <c r="M120" s="36" t="n">
        <f aca="false">SUMIFS(Transaction_Data!$F$2:$F$5000,Transaction_Data!$D$2:$D$5000,"&gt;="&amp;$S$5,Transaction_Data!$D$2:$D$5000,"&lt;"&amp;$S$6,Transaction_Data!$H$2:$H$5000,$S$4,Transaction_Data!$I$2:$I$5000,$J120)/100000</f>
        <v>77.5234786</v>
      </c>
      <c r="N120" s="44" t="n">
        <f aca="false">M120+ROW()/10000000</f>
        <v>77.5234906</v>
      </c>
    </row>
    <row r="121" customFormat="false" ht="15" hidden="false" customHeight="false" outlineLevel="0" collapsed="false">
      <c r="J121" s="28" t="str">
        <f aca="false">Branch_Data!C20</f>
        <v>Sector 18</v>
      </c>
      <c r="K121" s="28" t="str">
        <f aca="false">Branch_Data!B20</f>
        <v>Noida</v>
      </c>
      <c r="L121" s="29" t="n">
        <f aca="false">COUNTIFS(Transaction_Data!$D$2:$D$5000,"&gt;="&amp;$S$5,Transaction_Data!$D$2:$D$5000,"&lt;"&amp;$S$6,Transaction_Data!$H$2:$H$5000,$S$4,Transaction_Data!$I$2:$I$5000,$J121)</f>
        <v>99</v>
      </c>
      <c r="M121" s="30" t="n">
        <f aca="false">SUMIFS(Transaction_Data!$F$2:$F$5000,Transaction_Data!$D$2:$D$5000,"&gt;="&amp;$S$5,Transaction_Data!$D$2:$D$5000,"&lt;"&amp;$S$6,Transaction_Data!$H$2:$H$5000,$S$4,Transaction_Data!$I$2:$I$5000,$J121)/100000</f>
        <v>102.3268911</v>
      </c>
      <c r="N121" s="43" t="n">
        <f aca="false">M121+ROW()/10000000</f>
        <v>102.3269032</v>
      </c>
    </row>
    <row r="122" customFormat="false" ht="15" hidden="false" customHeight="false" outlineLevel="0" collapsed="false">
      <c r="J122" s="34" t="str">
        <f aca="false">Branch_Data!C21</f>
        <v>Sector 62</v>
      </c>
      <c r="K122" s="34" t="str">
        <f aca="false">Branch_Data!B21</f>
        <v>Noida</v>
      </c>
      <c r="L122" s="35" t="n">
        <f aca="false">COUNTIFS(Transaction_Data!$D$2:$D$5000,"&gt;="&amp;$S$5,Transaction_Data!$D$2:$D$5000,"&lt;"&amp;$S$6,Transaction_Data!$H$2:$H$5000,$S$4,Transaction_Data!$I$2:$I$5000,$J122)</f>
        <v>105</v>
      </c>
      <c r="M122" s="36" t="n">
        <f aca="false">SUMIFS(Transaction_Data!$F$2:$F$5000,Transaction_Data!$D$2:$D$5000,"&gt;="&amp;$S$5,Transaction_Data!$D$2:$D$5000,"&lt;"&amp;$S$6,Transaction_Data!$H$2:$H$5000,$S$4,Transaction_Data!$I$2:$I$5000,$J122)/100000</f>
        <v>97.7532259</v>
      </c>
      <c r="N122" s="44" t="n">
        <f aca="false">M122+ROW()/10000000</f>
        <v>97.7532381</v>
      </c>
    </row>
    <row r="123" customFormat="false" ht="15" hidden="false" customHeight="false" outlineLevel="0" collapsed="false">
      <c r="J123" s="28" t="str">
        <f aca="false">Branch_Data!C22</f>
        <v>Sector 50</v>
      </c>
      <c r="K123" s="28" t="str">
        <f aca="false">Branch_Data!B22</f>
        <v>Noida</v>
      </c>
      <c r="L123" s="29" t="n">
        <f aca="false">COUNTIFS(Transaction_Data!$D$2:$D$5000,"&gt;="&amp;$S$5,Transaction_Data!$D$2:$D$5000,"&lt;"&amp;$S$6,Transaction_Data!$H$2:$H$5000,$S$4,Transaction_Data!$I$2:$I$5000,$J123)</f>
        <v>76</v>
      </c>
      <c r="M123" s="30" t="n">
        <f aca="false">SUMIFS(Transaction_Data!$F$2:$F$5000,Transaction_Data!$D$2:$D$5000,"&gt;="&amp;$S$5,Transaction_Data!$D$2:$D$5000,"&lt;"&amp;$S$6,Transaction_Data!$H$2:$H$5000,$S$4,Transaction_Data!$I$2:$I$5000,$J123)/100000</f>
        <v>71.2476098</v>
      </c>
      <c r="N123" s="43" t="n">
        <f aca="false">M123+ROW()/10000000</f>
        <v>71.2476221</v>
      </c>
    </row>
    <row r="124" customFormat="false" ht="15" hidden="false" customHeight="false" outlineLevel="0" collapsed="false">
      <c r="J124" s="34" t="str">
        <f aca="false">Branch_Data!C23</f>
        <v>C-Scheme</v>
      </c>
      <c r="K124" s="34" t="str">
        <f aca="false">Branch_Data!B23</f>
        <v>Jaipur</v>
      </c>
      <c r="L124" s="35" t="n">
        <f aca="false">COUNTIFS(Transaction_Data!$D$2:$D$5000,"&gt;="&amp;$S$5,Transaction_Data!$D$2:$D$5000,"&lt;"&amp;$S$6,Transaction_Data!$H$2:$H$5000,$S$4,Transaction_Data!$I$2:$I$5000,$J124)</f>
        <v>107</v>
      </c>
      <c r="M124" s="36" t="n">
        <f aca="false">SUMIFS(Transaction_Data!$F$2:$F$5000,Transaction_Data!$D$2:$D$5000,"&gt;="&amp;$S$5,Transaction_Data!$D$2:$D$5000,"&lt;"&amp;$S$6,Transaction_Data!$H$2:$H$5000,$S$4,Transaction_Data!$I$2:$I$5000,$J124)/100000</f>
        <v>112.6304468</v>
      </c>
      <c r="N124" s="44" t="n">
        <f aca="false">M124+ROW()/10000000</f>
        <v>112.6304592</v>
      </c>
    </row>
    <row r="125" customFormat="false" ht="15" hidden="false" customHeight="false" outlineLevel="0" collapsed="false">
      <c r="J125" s="28" t="str">
        <f aca="false">Branch_Data!C24</f>
        <v>Malviya Nagar</v>
      </c>
      <c r="K125" s="28" t="str">
        <f aca="false">Branch_Data!B24</f>
        <v>Jaipur</v>
      </c>
      <c r="L125" s="29" t="n">
        <f aca="false">COUNTIFS(Transaction_Data!$D$2:$D$5000,"&gt;="&amp;$S$5,Transaction_Data!$D$2:$D$5000,"&lt;"&amp;$S$6,Transaction_Data!$H$2:$H$5000,$S$4,Transaction_Data!$I$2:$I$5000,$J125)</f>
        <v>126</v>
      </c>
      <c r="M125" s="30" t="n">
        <f aca="false">SUMIFS(Transaction_Data!$F$2:$F$5000,Transaction_Data!$D$2:$D$5000,"&gt;="&amp;$S$5,Transaction_Data!$D$2:$D$5000,"&lt;"&amp;$S$6,Transaction_Data!$H$2:$H$5000,$S$4,Transaction_Data!$I$2:$I$5000,$J125)/100000</f>
        <v>119.7365981</v>
      </c>
      <c r="N125" s="43" t="n">
        <f aca="false">M125+ROW()/10000000</f>
        <v>119.7366106</v>
      </c>
    </row>
    <row r="126" customFormat="false" ht="15" hidden="false" customHeight="false" outlineLevel="0" collapsed="false">
      <c r="J126" s="34" t="str">
        <f aca="false">Branch_Data!C25</f>
        <v>Vaishali Nagar</v>
      </c>
      <c r="K126" s="34" t="str">
        <f aca="false">Branch_Data!B25</f>
        <v>Jaipur</v>
      </c>
      <c r="L126" s="35" t="n">
        <f aca="false">COUNTIFS(Transaction_Data!$D$2:$D$5000,"&gt;="&amp;$S$5,Transaction_Data!$D$2:$D$5000,"&lt;"&amp;$S$6,Transaction_Data!$H$2:$H$5000,$S$4,Transaction_Data!$I$2:$I$5000,$J126)</f>
        <v>76</v>
      </c>
      <c r="M126" s="36" t="n">
        <f aca="false">SUMIFS(Transaction_Data!$F$2:$F$5000,Transaction_Data!$D$2:$D$5000,"&gt;="&amp;$S$5,Transaction_Data!$D$2:$D$5000,"&lt;"&amp;$S$6,Transaction_Data!$H$2:$H$5000,$S$4,Transaction_Data!$I$2:$I$5000,$J126)/100000</f>
        <v>74.8930495</v>
      </c>
      <c r="N126" s="44" t="n">
        <f aca="false">M126+ROW()/10000000</f>
        <v>74.8930621</v>
      </c>
    </row>
    <row r="127" customFormat="false" ht="15" hidden="false" customHeight="false" outlineLevel="0" collapsed="false">
      <c r="J127" s="28" t="str">
        <f aca="false">Branch_Data!C26</f>
        <v>Salt Lake</v>
      </c>
      <c r="K127" s="28" t="str">
        <f aca="false">Branch_Data!B26</f>
        <v>Kolkata</v>
      </c>
      <c r="L127" s="29" t="n">
        <f aca="false">COUNTIFS(Transaction_Data!$D$2:$D$5000,"&gt;="&amp;$S$5,Transaction_Data!$D$2:$D$5000,"&lt;"&amp;$S$6,Transaction_Data!$H$2:$H$5000,$S$4,Transaction_Data!$I$2:$I$5000,$J127)</f>
        <v>90</v>
      </c>
      <c r="M127" s="30" t="n">
        <f aca="false">SUMIFS(Transaction_Data!$F$2:$F$5000,Transaction_Data!$D$2:$D$5000,"&gt;="&amp;$S$5,Transaction_Data!$D$2:$D$5000,"&lt;"&amp;$S$6,Transaction_Data!$H$2:$H$5000,$S$4,Transaction_Data!$I$2:$I$5000,$J127)/100000</f>
        <v>90.1200638</v>
      </c>
      <c r="N127" s="43" t="n">
        <f aca="false">M127+ROW()/10000000</f>
        <v>90.1200765</v>
      </c>
    </row>
    <row r="128" customFormat="false" ht="15" hidden="false" customHeight="false" outlineLevel="0" collapsed="false">
      <c r="J128" s="34" t="str">
        <f aca="false">Branch_Data!C27</f>
        <v>Park Street</v>
      </c>
      <c r="K128" s="34" t="str">
        <f aca="false">Branch_Data!B27</f>
        <v>Kolkata</v>
      </c>
      <c r="L128" s="35" t="n">
        <f aca="false">COUNTIFS(Transaction_Data!$D$2:$D$5000,"&gt;="&amp;$S$5,Transaction_Data!$D$2:$D$5000,"&lt;"&amp;$S$6,Transaction_Data!$H$2:$H$5000,$S$4,Transaction_Data!$I$2:$I$5000,$J128)</f>
        <v>94</v>
      </c>
      <c r="M128" s="36" t="n">
        <f aca="false">SUMIFS(Transaction_Data!$F$2:$F$5000,Transaction_Data!$D$2:$D$5000,"&gt;="&amp;$S$5,Transaction_Data!$D$2:$D$5000,"&lt;"&amp;$S$6,Transaction_Data!$H$2:$H$5000,$S$4,Transaction_Data!$I$2:$I$5000,$J128)/100000</f>
        <v>92.3221075</v>
      </c>
      <c r="N128" s="44" t="n">
        <f aca="false">M128+ROW()/10000000</f>
        <v>92.3221203</v>
      </c>
    </row>
    <row r="129" customFormat="false" ht="15" hidden="false" customHeight="false" outlineLevel="0" collapsed="false">
      <c r="J129" s="28" t="str">
        <f aca="false">Branch_Data!C28</f>
        <v>New Town</v>
      </c>
      <c r="K129" s="28" t="str">
        <f aca="false">Branch_Data!B28</f>
        <v>Kolkata</v>
      </c>
      <c r="L129" s="29" t="n">
        <f aca="false">COUNTIFS(Transaction_Data!$D$2:$D$5000,"&gt;="&amp;$S$5,Transaction_Data!$D$2:$D$5000,"&lt;"&amp;$S$6,Transaction_Data!$H$2:$H$5000,$S$4,Transaction_Data!$I$2:$I$5000,$J129)</f>
        <v>72</v>
      </c>
      <c r="M129" s="30" t="n">
        <f aca="false">SUMIFS(Transaction_Data!$F$2:$F$5000,Transaction_Data!$D$2:$D$5000,"&gt;="&amp;$S$5,Transaction_Data!$D$2:$D$5000,"&lt;"&amp;$S$6,Transaction_Data!$H$2:$H$5000,$S$4,Transaction_Data!$I$2:$I$5000,$J129)/100000</f>
        <v>65.8490257</v>
      </c>
      <c r="N129" s="43" t="n">
        <f aca="false">M129+ROW()/10000000</f>
        <v>65.8490386</v>
      </c>
    </row>
    <row r="130" customFormat="false" ht="15" hidden="false" customHeight="false" outlineLevel="0" collapsed="false">
      <c r="J130" s="34" t="str">
        <f aca="false">Branch_Data!C29</f>
        <v>T Nagar</v>
      </c>
      <c r="K130" s="34" t="str">
        <f aca="false">Branch_Data!B29</f>
        <v>Chennai</v>
      </c>
      <c r="L130" s="35" t="n">
        <f aca="false">COUNTIFS(Transaction_Data!$D$2:$D$5000,"&gt;="&amp;$S$5,Transaction_Data!$D$2:$D$5000,"&lt;"&amp;$S$6,Transaction_Data!$H$2:$H$5000,$S$4,Transaction_Data!$I$2:$I$5000,$J130)</f>
        <v>87</v>
      </c>
      <c r="M130" s="36" t="n">
        <f aca="false">SUMIFS(Transaction_Data!$F$2:$F$5000,Transaction_Data!$D$2:$D$5000,"&gt;="&amp;$S$5,Transaction_Data!$D$2:$D$5000,"&lt;"&amp;$S$6,Transaction_Data!$H$2:$H$5000,$S$4,Transaction_Data!$I$2:$I$5000,$J130)/100000</f>
        <v>90.3082513</v>
      </c>
      <c r="N130" s="44" t="n">
        <f aca="false">M130+ROW()/10000000</f>
        <v>90.3082643</v>
      </c>
    </row>
    <row r="131" customFormat="false" ht="15" hidden="false" customHeight="false" outlineLevel="0" collapsed="false">
      <c r="J131" s="28" t="str">
        <f aca="false">Branch_Data!C30</f>
        <v>OMR</v>
      </c>
      <c r="K131" s="28" t="str">
        <f aca="false">Branch_Data!B30</f>
        <v>Chennai</v>
      </c>
      <c r="L131" s="29" t="n">
        <f aca="false">COUNTIFS(Transaction_Data!$D$2:$D$5000,"&gt;="&amp;$S$5,Transaction_Data!$D$2:$D$5000,"&lt;"&amp;$S$6,Transaction_Data!$H$2:$H$5000,$S$4,Transaction_Data!$I$2:$I$5000,$J131)</f>
        <v>107</v>
      </c>
      <c r="M131" s="30" t="n">
        <f aca="false">SUMIFS(Transaction_Data!$F$2:$F$5000,Transaction_Data!$D$2:$D$5000,"&gt;="&amp;$S$5,Transaction_Data!$D$2:$D$5000,"&lt;"&amp;$S$6,Transaction_Data!$H$2:$H$5000,$S$4,Transaction_Data!$I$2:$I$5000,$J131)/100000</f>
        <v>109.3161272</v>
      </c>
      <c r="N131" s="43" t="n">
        <f aca="false">M131+ROW()/10000000</f>
        <v>109.3161403</v>
      </c>
    </row>
    <row r="132" customFormat="false" ht="15" hidden="false" customHeight="false" outlineLevel="0" collapsed="false">
      <c r="J132" s="34" t="str">
        <f aca="false">Branch_Data!C31</f>
        <v>Anna Nagar</v>
      </c>
      <c r="K132" s="34" t="str">
        <f aca="false">Branch_Data!B31</f>
        <v>Chennai</v>
      </c>
      <c r="L132" s="35" t="n">
        <f aca="false">COUNTIFS(Transaction_Data!$D$2:$D$5000,"&gt;="&amp;$S$5,Transaction_Data!$D$2:$D$5000,"&lt;"&amp;$S$6,Transaction_Data!$H$2:$H$5000,$S$4,Transaction_Data!$I$2:$I$5000,$J132)</f>
        <v>31</v>
      </c>
      <c r="M132" s="36" t="n">
        <f aca="false">SUMIFS(Transaction_Data!$F$2:$F$5000,Transaction_Data!$D$2:$D$5000,"&gt;="&amp;$S$5,Transaction_Data!$D$2:$D$5000,"&lt;"&amp;$S$6,Transaction_Data!$H$2:$H$5000,$S$4,Transaction_Data!$I$2:$I$5000,$J132)/100000</f>
        <v>25.9068296</v>
      </c>
      <c r="N132" s="44" t="n">
        <f aca="false">M132+ROW()/10000000</f>
        <v>25.9068428</v>
      </c>
    </row>
  </sheetData>
  <mergeCells count="18">
    <mergeCell ref="B1:O2"/>
    <mergeCell ref="B3:O3"/>
    <mergeCell ref="C4:D4"/>
    <mergeCell ref="F4:G4"/>
    <mergeCell ref="B6:C6"/>
    <mergeCell ref="D6:E6"/>
    <mergeCell ref="F6:G6"/>
    <mergeCell ref="H6:I6"/>
    <mergeCell ref="J6:K6"/>
    <mergeCell ref="L6:M6"/>
    <mergeCell ref="N6:O6"/>
    <mergeCell ref="B7:C8"/>
    <mergeCell ref="D7:E8"/>
    <mergeCell ref="F7:G8"/>
    <mergeCell ref="H7:I8"/>
    <mergeCell ref="J7:K8"/>
    <mergeCell ref="L7:M8"/>
    <mergeCell ref="N7:O8"/>
  </mergeCells>
  <conditionalFormatting sqref="N89:N98">
    <cfRule type="dataBar" priority="2">
      <dataBar showValue="1" minLength="10" maxLength="90">
        <cfvo type="num" val="0"/>
        <cfvo type="max" val="0"/>
        <color rgb="FF2E86AB"/>
      </dataBar>
      <extLst>
        <ext xmlns:x14="http://schemas.microsoft.com/office/spreadsheetml/2009/9/main" uri="{B025F937-C7B1-47D3-B67F-A62EFF666E3E}">
          <x14:id>{2F48504F-D59A-4138-A271-40664AB2EA5D}</x14:id>
        </ext>
      </extLst>
    </cfRule>
  </conditionalFormatting>
  <dataValidations count="2">
    <dataValidation allowBlank="false" errorStyle="stop" operator="between" showDropDown="false" showErrorMessage="false" showInputMessage="false" sqref="C4" type="list">
      <formula1>"All,Bengaluru,Chennai,Delhi,Hyderabad,Jaipur,Kolkata,Lucknow,Mumbai,Noida,Pune"</formula1>
      <formula2>0</formula2>
    </dataValidation>
    <dataValidation allowBlank="false" errorStyle="stop" operator="between" showDropDown="false" showErrorMessage="false" showInputMessage="false" sqref="F4" type="list">
      <formula1>"All,2025,2026"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48504F-D59A-4138-A271-40664AB2EA5D}">
            <x14:dataBar minLength="10" maxLength="90" axisPosition="none" gradient="true">
              <x14:cfvo type="num">
                <xm:f>0</xm:f>
              </x14:cfvo>
              <x14:cfvo type="max"/>
              <x14:negativeFillColor rgb="FF2E86AB"/>
              <x14:axisColor rgb="FF000000"/>
            </x14:dataBar>
          </x14:cfRule>
          <xm:sqref>N89:N98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45" t="s">
        <v>71</v>
      </c>
      <c r="B1" s="45" t="s">
        <v>72</v>
      </c>
      <c r="C1" s="45" t="s">
        <v>73</v>
      </c>
      <c r="D1" s="45" t="s">
        <v>74</v>
      </c>
      <c r="E1" s="45" t="s">
        <v>75</v>
      </c>
      <c r="F1" s="45" t="s">
        <v>76</v>
      </c>
      <c r="G1" s="45" t="s">
        <v>64</v>
      </c>
      <c r="H1" s="45" t="s">
        <v>36</v>
      </c>
      <c r="I1" s="45" t="s">
        <v>57</v>
      </c>
      <c r="J1" s="45" t="s">
        <v>77</v>
      </c>
      <c r="K1" s="45" t="s">
        <v>32</v>
      </c>
    </row>
    <row r="2" customFormat="false" ht="15" hidden="false" customHeight="false" outlineLevel="0" collapsed="false">
      <c r="A2" s="0" t="s">
        <v>78</v>
      </c>
      <c r="B2" s="0" t="s">
        <v>79</v>
      </c>
      <c r="D2" s="46" t="n">
        <v>46025</v>
      </c>
      <c r="E2" s="47" t="s">
        <v>53</v>
      </c>
      <c r="F2" s="48" t="n">
        <v>75403.9</v>
      </c>
      <c r="G2" s="47" t="s">
        <v>53</v>
      </c>
      <c r="H2" s="47" t="s">
        <v>44</v>
      </c>
      <c r="I2" s="47" t="s">
        <v>80</v>
      </c>
      <c r="J2" s="47" t="s">
        <v>28</v>
      </c>
      <c r="K2" s="47" t="s">
        <v>34</v>
      </c>
    </row>
    <row r="3" customFormat="false" ht="15" hidden="false" customHeight="false" outlineLevel="0" collapsed="false">
      <c r="A3" s="0" t="s">
        <v>81</v>
      </c>
      <c r="B3" s="0" t="s">
        <v>82</v>
      </c>
      <c r="D3" s="46" t="n">
        <v>45928</v>
      </c>
      <c r="E3" s="47" t="s">
        <v>53</v>
      </c>
      <c r="F3" s="48" t="n">
        <v>73013.28</v>
      </c>
      <c r="G3" s="47" t="s">
        <v>65</v>
      </c>
      <c r="H3" s="47" t="s">
        <v>40</v>
      </c>
      <c r="I3" s="47" t="s">
        <v>83</v>
      </c>
      <c r="J3" s="47" t="s">
        <v>28</v>
      </c>
      <c r="K3" s="47" t="s">
        <v>33</v>
      </c>
    </row>
    <row r="4" customFormat="false" ht="15" hidden="false" customHeight="false" outlineLevel="0" collapsed="false">
      <c r="A4" s="0" t="s">
        <v>84</v>
      </c>
      <c r="B4" s="0" t="s">
        <v>85</v>
      </c>
      <c r="D4" s="46" t="n">
        <v>46082</v>
      </c>
      <c r="E4" s="47" t="s">
        <v>55</v>
      </c>
      <c r="F4" s="48" t="n">
        <v>142990.84</v>
      </c>
      <c r="G4" s="47" t="s">
        <v>57</v>
      </c>
      <c r="H4" s="47" t="s">
        <v>41</v>
      </c>
      <c r="I4" s="47" t="s">
        <v>86</v>
      </c>
      <c r="J4" s="47" t="s">
        <v>28</v>
      </c>
      <c r="K4" s="47" t="s">
        <v>33</v>
      </c>
    </row>
    <row r="5" customFormat="false" ht="15" hidden="false" customHeight="false" outlineLevel="0" collapsed="false">
      <c r="A5" s="0" t="s">
        <v>87</v>
      </c>
      <c r="B5" s="0" t="s">
        <v>88</v>
      </c>
      <c r="D5" s="46" t="n">
        <v>45780</v>
      </c>
      <c r="E5" s="47" t="s">
        <v>55</v>
      </c>
      <c r="F5" s="48" t="n">
        <v>66523.95</v>
      </c>
      <c r="G5" s="47" t="s">
        <v>68</v>
      </c>
      <c r="H5" s="47" t="s">
        <v>40</v>
      </c>
      <c r="I5" s="47" t="s">
        <v>89</v>
      </c>
      <c r="J5" s="47" t="s">
        <v>28</v>
      </c>
      <c r="K5" s="47" t="s">
        <v>34</v>
      </c>
    </row>
    <row r="6" customFormat="false" ht="15" hidden="false" customHeight="false" outlineLevel="0" collapsed="false">
      <c r="A6" s="0" t="s">
        <v>90</v>
      </c>
      <c r="B6" s="0" t="s">
        <v>91</v>
      </c>
      <c r="C6" s="0" t="s">
        <v>92</v>
      </c>
      <c r="D6" s="46" t="n">
        <v>46014</v>
      </c>
      <c r="E6" s="47" t="s">
        <v>58</v>
      </c>
      <c r="F6" s="48" t="n">
        <v>163092.9</v>
      </c>
      <c r="G6" s="47" t="s">
        <v>66</v>
      </c>
      <c r="H6" s="47" t="s">
        <v>41</v>
      </c>
      <c r="I6" s="47" t="s">
        <v>86</v>
      </c>
      <c r="J6" s="47" t="s">
        <v>30</v>
      </c>
      <c r="K6" s="47" t="s">
        <v>33</v>
      </c>
    </row>
    <row r="7" customFormat="false" ht="15" hidden="false" customHeight="false" outlineLevel="0" collapsed="false">
      <c r="A7" s="0" t="s">
        <v>93</v>
      </c>
      <c r="B7" s="0" t="s">
        <v>94</v>
      </c>
      <c r="D7" s="46" t="n">
        <v>45663</v>
      </c>
      <c r="E7" s="47" t="s">
        <v>59</v>
      </c>
      <c r="F7" s="48" t="n">
        <v>106661.52</v>
      </c>
      <c r="G7" s="47" t="s">
        <v>65</v>
      </c>
      <c r="H7" s="47" t="s">
        <v>45</v>
      </c>
      <c r="I7" s="47" t="s">
        <v>95</v>
      </c>
      <c r="J7" s="47" t="s">
        <v>29</v>
      </c>
      <c r="K7" s="47" t="s">
        <v>33</v>
      </c>
    </row>
    <row r="8" customFormat="false" ht="15" hidden="false" customHeight="false" outlineLevel="0" collapsed="false">
      <c r="A8" s="0" t="s">
        <v>96</v>
      </c>
      <c r="B8" s="0" t="s">
        <v>97</v>
      </c>
      <c r="D8" s="46" t="n">
        <v>46151</v>
      </c>
      <c r="E8" s="47" t="s">
        <v>55</v>
      </c>
      <c r="F8" s="48" t="n">
        <v>51587.77</v>
      </c>
      <c r="G8" s="47" t="s">
        <v>68</v>
      </c>
      <c r="H8" s="47" t="s">
        <v>39</v>
      </c>
      <c r="I8" s="47" t="s">
        <v>98</v>
      </c>
      <c r="J8" s="47" t="s">
        <v>28</v>
      </c>
      <c r="K8" s="47" t="s">
        <v>33</v>
      </c>
    </row>
    <row r="9" customFormat="false" ht="15" hidden="false" customHeight="false" outlineLevel="0" collapsed="false">
      <c r="A9" s="0" t="s">
        <v>99</v>
      </c>
      <c r="B9" s="0" t="s">
        <v>100</v>
      </c>
      <c r="C9" s="0" t="s">
        <v>101</v>
      </c>
      <c r="D9" s="46" t="n">
        <v>45827</v>
      </c>
      <c r="E9" s="47" t="s">
        <v>62</v>
      </c>
      <c r="F9" s="48" t="n">
        <v>166445.1</v>
      </c>
      <c r="G9" s="47" t="s">
        <v>57</v>
      </c>
      <c r="H9" s="47" t="s">
        <v>43</v>
      </c>
      <c r="I9" s="47" t="s">
        <v>102</v>
      </c>
      <c r="J9" s="47" t="s">
        <v>30</v>
      </c>
      <c r="K9" s="47" t="s">
        <v>34</v>
      </c>
    </row>
    <row r="10" customFormat="false" ht="15" hidden="false" customHeight="false" outlineLevel="0" collapsed="false">
      <c r="A10" s="0" t="s">
        <v>103</v>
      </c>
      <c r="B10" s="0" t="s">
        <v>104</v>
      </c>
      <c r="D10" s="46" t="n">
        <v>45799</v>
      </c>
      <c r="E10" s="47" t="s">
        <v>55</v>
      </c>
      <c r="F10" s="48" t="n">
        <v>123112.14</v>
      </c>
      <c r="G10" s="47" t="s">
        <v>57</v>
      </c>
      <c r="H10" s="47" t="s">
        <v>42</v>
      </c>
      <c r="I10" s="47" t="s">
        <v>105</v>
      </c>
      <c r="J10" s="47" t="s">
        <v>28</v>
      </c>
      <c r="K10" s="47" t="s">
        <v>33</v>
      </c>
    </row>
    <row r="11" customFormat="false" ht="15" hidden="false" customHeight="false" outlineLevel="0" collapsed="false">
      <c r="A11" s="0" t="s">
        <v>106</v>
      </c>
      <c r="B11" s="0" t="s">
        <v>107</v>
      </c>
      <c r="D11" s="46" t="n">
        <v>45997</v>
      </c>
      <c r="E11" s="47" t="s">
        <v>58</v>
      </c>
      <c r="F11" s="48" t="n">
        <v>196758.88</v>
      </c>
      <c r="G11" s="47" t="s">
        <v>66</v>
      </c>
      <c r="H11" s="47" t="s">
        <v>47</v>
      </c>
      <c r="I11" s="47" t="s">
        <v>108</v>
      </c>
      <c r="J11" s="47" t="s">
        <v>28</v>
      </c>
      <c r="K11" s="47" t="s">
        <v>33</v>
      </c>
    </row>
    <row r="12" customFormat="false" ht="15" hidden="false" customHeight="false" outlineLevel="0" collapsed="false">
      <c r="A12" s="0" t="s">
        <v>109</v>
      </c>
      <c r="B12" s="0" t="s">
        <v>110</v>
      </c>
      <c r="D12" s="46" t="n">
        <v>45926</v>
      </c>
      <c r="E12" s="47" t="s">
        <v>61</v>
      </c>
      <c r="F12" s="48" t="n">
        <v>91877.57</v>
      </c>
      <c r="G12" s="47" t="s">
        <v>65</v>
      </c>
      <c r="H12" s="47" t="s">
        <v>48</v>
      </c>
      <c r="I12" s="47" t="s">
        <v>111</v>
      </c>
      <c r="J12" s="47" t="s">
        <v>28</v>
      </c>
      <c r="K12" s="47" t="s">
        <v>33</v>
      </c>
    </row>
    <row r="13" customFormat="false" ht="15" hidden="false" customHeight="false" outlineLevel="0" collapsed="false">
      <c r="A13" s="0" t="s">
        <v>112</v>
      </c>
      <c r="B13" s="0" t="s">
        <v>113</v>
      </c>
      <c r="D13" s="46" t="n">
        <v>46021</v>
      </c>
      <c r="E13" s="47" t="s">
        <v>53</v>
      </c>
      <c r="F13" s="48" t="n">
        <v>174801.24</v>
      </c>
      <c r="G13" s="47" t="s">
        <v>53</v>
      </c>
      <c r="H13" s="47" t="s">
        <v>48</v>
      </c>
      <c r="I13" s="47" t="s">
        <v>114</v>
      </c>
      <c r="J13" s="47" t="s">
        <v>28</v>
      </c>
      <c r="K13" s="47" t="s">
        <v>33</v>
      </c>
    </row>
    <row r="14" customFormat="false" ht="15" hidden="false" customHeight="false" outlineLevel="0" collapsed="false">
      <c r="A14" s="0" t="s">
        <v>115</v>
      </c>
      <c r="B14" s="0" t="s">
        <v>116</v>
      </c>
      <c r="D14" s="46" t="n">
        <v>45778</v>
      </c>
      <c r="E14" s="47" t="s">
        <v>59</v>
      </c>
      <c r="F14" s="48" t="n">
        <v>139244.31</v>
      </c>
      <c r="G14" s="47" t="s">
        <v>66</v>
      </c>
      <c r="H14" s="47" t="s">
        <v>43</v>
      </c>
      <c r="I14" s="47" t="s">
        <v>117</v>
      </c>
      <c r="J14" s="47" t="s">
        <v>29</v>
      </c>
      <c r="K14" s="47" t="s">
        <v>34</v>
      </c>
    </row>
    <row r="15" customFormat="false" ht="15" hidden="false" customHeight="false" outlineLevel="0" collapsed="false">
      <c r="A15" s="0" t="s">
        <v>118</v>
      </c>
      <c r="B15" s="0" t="s">
        <v>119</v>
      </c>
      <c r="C15" s="0" t="s">
        <v>120</v>
      </c>
      <c r="D15" s="46" t="n">
        <v>45869</v>
      </c>
      <c r="E15" s="47" t="s">
        <v>59</v>
      </c>
      <c r="F15" s="48" t="n">
        <v>196563.9</v>
      </c>
      <c r="G15" s="47" t="s">
        <v>66</v>
      </c>
      <c r="H15" s="47" t="s">
        <v>46</v>
      </c>
      <c r="I15" s="47" t="s">
        <v>121</v>
      </c>
      <c r="J15" s="47" t="s">
        <v>28</v>
      </c>
      <c r="K15" s="47" t="s">
        <v>34</v>
      </c>
    </row>
    <row r="16" customFormat="false" ht="15" hidden="false" customHeight="false" outlineLevel="0" collapsed="false">
      <c r="A16" s="0" t="s">
        <v>122</v>
      </c>
      <c r="B16" s="0" t="s">
        <v>123</v>
      </c>
      <c r="D16" s="46" t="n">
        <v>45942</v>
      </c>
      <c r="E16" s="47" t="s">
        <v>55</v>
      </c>
      <c r="F16" s="48" t="n">
        <v>193254.93</v>
      </c>
      <c r="G16" s="47" t="s">
        <v>65</v>
      </c>
      <c r="H16" s="47" t="s">
        <v>39</v>
      </c>
      <c r="I16" s="47" t="s">
        <v>98</v>
      </c>
      <c r="J16" s="47" t="s">
        <v>30</v>
      </c>
      <c r="K16" s="47" t="s">
        <v>34</v>
      </c>
    </row>
    <row r="17" customFormat="false" ht="15" hidden="false" customHeight="false" outlineLevel="0" collapsed="false">
      <c r="A17" s="0" t="s">
        <v>124</v>
      </c>
      <c r="B17" s="0" t="s">
        <v>125</v>
      </c>
      <c r="D17" s="46" t="n">
        <v>46264</v>
      </c>
      <c r="E17" s="47" t="s">
        <v>58</v>
      </c>
      <c r="F17" s="48" t="n">
        <v>184496.82</v>
      </c>
      <c r="G17" s="47" t="s">
        <v>57</v>
      </c>
      <c r="H17" s="47" t="s">
        <v>46</v>
      </c>
      <c r="I17" s="47" t="s">
        <v>121</v>
      </c>
      <c r="J17" s="47" t="s">
        <v>29</v>
      </c>
      <c r="K17" s="47" t="s">
        <v>33</v>
      </c>
    </row>
    <row r="18" customFormat="false" ht="15" hidden="false" customHeight="false" outlineLevel="0" collapsed="false">
      <c r="A18" s="0" t="s">
        <v>126</v>
      </c>
      <c r="B18" s="0" t="s">
        <v>127</v>
      </c>
      <c r="D18" s="46" t="n">
        <v>46279</v>
      </c>
      <c r="E18" s="47" t="s">
        <v>59</v>
      </c>
      <c r="F18" s="48" t="n">
        <v>13505.01</v>
      </c>
      <c r="G18" s="47" t="s">
        <v>53</v>
      </c>
      <c r="H18" s="47" t="s">
        <v>39</v>
      </c>
      <c r="I18" s="47" t="s">
        <v>98</v>
      </c>
      <c r="J18" s="47" t="s">
        <v>28</v>
      </c>
      <c r="K18" s="47" t="s">
        <v>34</v>
      </c>
    </row>
    <row r="19" customFormat="false" ht="15" hidden="false" customHeight="false" outlineLevel="0" collapsed="false">
      <c r="A19" s="0" t="s">
        <v>128</v>
      </c>
      <c r="B19" s="0" t="s">
        <v>129</v>
      </c>
      <c r="D19" s="46" t="n">
        <v>45736</v>
      </c>
      <c r="E19" s="47" t="s">
        <v>53</v>
      </c>
      <c r="F19" s="48" t="n">
        <v>183606.92</v>
      </c>
      <c r="G19" s="47" t="s">
        <v>65</v>
      </c>
      <c r="H19" s="47" t="s">
        <v>45</v>
      </c>
      <c r="I19" s="47" t="s">
        <v>95</v>
      </c>
      <c r="J19" s="47" t="s">
        <v>28</v>
      </c>
      <c r="K19" s="47" t="s">
        <v>34</v>
      </c>
    </row>
    <row r="20" customFormat="false" ht="15" hidden="false" customHeight="false" outlineLevel="0" collapsed="false">
      <c r="A20" s="0" t="s">
        <v>130</v>
      </c>
      <c r="B20" s="0" t="s">
        <v>131</v>
      </c>
      <c r="D20" s="46" t="n">
        <v>46144</v>
      </c>
      <c r="E20" s="47" t="s">
        <v>58</v>
      </c>
      <c r="F20" s="48" t="n">
        <v>40190.17</v>
      </c>
      <c r="G20" s="47" t="s">
        <v>66</v>
      </c>
      <c r="H20" s="47" t="s">
        <v>44</v>
      </c>
      <c r="I20" s="47" t="s">
        <v>132</v>
      </c>
      <c r="J20" s="47" t="s">
        <v>28</v>
      </c>
      <c r="K20" s="47" t="s">
        <v>34</v>
      </c>
    </row>
    <row r="21" customFormat="false" ht="15" hidden="false" customHeight="false" outlineLevel="0" collapsed="false">
      <c r="A21" s="0" t="s">
        <v>133</v>
      </c>
      <c r="B21" s="0" t="s">
        <v>134</v>
      </c>
      <c r="D21" s="46" t="n">
        <v>46165</v>
      </c>
      <c r="E21" s="47" t="s">
        <v>58</v>
      </c>
      <c r="F21" s="48" t="n">
        <v>64760.79</v>
      </c>
      <c r="G21" s="47" t="s">
        <v>68</v>
      </c>
      <c r="H21" s="47" t="s">
        <v>48</v>
      </c>
      <c r="I21" s="47" t="s">
        <v>114</v>
      </c>
      <c r="J21" s="47" t="s">
        <v>28</v>
      </c>
      <c r="K21" s="47" t="s">
        <v>34</v>
      </c>
    </row>
    <row r="22" customFormat="false" ht="15" hidden="false" customHeight="false" outlineLevel="0" collapsed="false">
      <c r="A22" s="0" t="s">
        <v>135</v>
      </c>
      <c r="B22" s="0" t="s">
        <v>136</v>
      </c>
      <c r="D22" s="46" t="n">
        <v>46189</v>
      </c>
      <c r="E22" s="47" t="s">
        <v>62</v>
      </c>
      <c r="F22" s="48" t="n">
        <v>26404.17</v>
      </c>
      <c r="G22" s="47" t="s">
        <v>66</v>
      </c>
      <c r="H22" s="47" t="s">
        <v>42</v>
      </c>
      <c r="I22" s="47" t="s">
        <v>137</v>
      </c>
      <c r="J22" s="47" t="s">
        <v>28</v>
      </c>
      <c r="K22" s="47" t="s">
        <v>34</v>
      </c>
    </row>
    <row r="23" customFormat="false" ht="15" hidden="false" customHeight="false" outlineLevel="0" collapsed="false">
      <c r="A23" s="0" t="s">
        <v>138</v>
      </c>
      <c r="B23" s="0" t="s">
        <v>139</v>
      </c>
      <c r="D23" s="46" t="n">
        <v>45934</v>
      </c>
      <c r="E23" s="47" t="s">
        <v>59</v>
      </c>
      <c r="F23" s="48" t="n">
        <v>129952.7</v>
      </c>
      <c r="G23" s="47" t="s">
        <v>68</v>
      </c>
      <c r="H23" s="47" t="s">
        <v>41</v>
      </c>
      <c r="I23" s="47" t="s">
        <v>86</v>
      </c>
      <c r="J23" s="47" t="s">
        <v>28</v>
      </c>
      <c r="K23" s="47" t="s">
        <v>34</v>
      </c>
    </row>
    <row r="24" customFormat="false" ht="15" hidden="false" customHeight="false" outlineLevel="0" collapsed="false">
      <c r="A24" s="0" t="s">
        <v>140</v>
      </c>
      <c r="B24" s="0" t="s">
        <v>141</v>
      </c>
      <c r="C24" s="0" t="s">
        <v>142</v>
      </c>
      <c r="D24" s="46" t="n">
        <v>45683</v>
      </c>
      <c r="E24" s="47" t="s">
        <v>59</v>
      </c>
      <c r="F24" s="48" t="n">
        <v>78332.38</v>
      </c>
      <c r="G24" s="47" t="s">
        <v>65</v>
      </c>
      <c r="H24" s="47" t="s">
        <v>48</v>
      </c>
      <c r="I24" s="47" t="s">
        <v>111</v>
      </c>
      <c r="J24" s="47" t="s">
        <v>29</v>
      </c>
      <c r="K24" s="47" t="s">
        <v>33</v>
      </c>
    </row>
    <row r="25" customFormat="false" ht="15" hidden="false" customHeight="false" outlineLevel="0" collapsed="false">
      <c r="A25" s="0" t="s">
        <v>143</v>
      </c>
      <c r="B25" s="0" t="s">
        <v>144</v>
      </c>
      <c r="D25" s="46" t="n">
        <v>45945</v>
      </c>
      <c r="E25" s="47" t="s">
        <v>59</v>
      </c>
      <c r="F25" s="48" t="n">
        <v>155844.17</v>
      </c>
      <c r="G25" s="47" t="s">
        <v>65</v>
      </c>
      <c r="H25" s="47" t="s">
        <v>39</v>
      </c>
      <c r="I25" s="47" t="s">
        <v>145</v>
      </c>
      <c r="J25" s="47" t="s">
        <v>28</v>
      </c>
      <c r="K25" s="47" t="s">
        <v>34</v>
      </c>
    </row>
    <row r="26" customFormat="false" ht="15" hidden="false" customHeight="false" outlineLevel="0" collapsed="false">
      <c r="A26" s="0" t="s">
        <v>146</v>
      </c>
      <c r="B26" s="0" t="s">
        <v>147</v>
      </c>
      <c r="D26" s="46" t="n">
        <v>46023</v>
      </c>
      <c r="E26" s="47" t="s">
        <v>61</v>
      </c>
      <c r="F26" s="48" t="n">
        <v>103346.11</v>
      </c>
      <c r="G26" s="47" t="s">
        <v>57</v>
      </c>
      <c r="H26" s="47" t="s">
        <v>46</v>
      </c>
      <c r="I26" s="47" t="s">
        <v>148</v>
      </c>
      <c r="J26" s="47" t="s">
        <v>28</v>
      </c>
      <c r="K26" s="47" t="s">
        <v>33</v>
      </c>
    </row>
    <row r="27" customFormat="false" ht="15" hidden="false" customHeight="false" outlineLevel="0" collapsed="false">
      <c r="A27" s="0" t="s">
        <v>149</v>
      </c>
      <c r="B27" s="0" t="s">
        <v>150</v>
      </c>
      <c r="D27" s="46" t="n">
        <v>45665</v>
      </c>
      <c r="E27" s="47" t="s">
        <v>60</v>
      </c>
      <c r="F27" s="48" t="n">
        <v>82283.9</v>
      </c>
      <c r="G27" s="47" t="s">
        <v>57</v>
      </c>
      <c r="H27" s="47" t="s">
        <v>45</v>
      </c>
      <c r="I27" s="47" t="s">
        <v>151</v>
      </c>
      <c r="J27" s="47" t="s">
        <v>29</v>
      </c>
      <c r="K27" s="47" t="s">
        <v>33</v>
      </c>
    </row>
    <row r="28" customFormat="false" ht="15" hidden="false" customHeight="false" outlineLevel="0" collapsed="false">
      <c r="A28" s="0" t="s">
        <v>152</v>
      </c>
      <c r="B28" s="0" t="s">
        <v>153</v>
      </c>
      <c r="D28" s="46" t="n">
        <v>46176</v>
      </c>
      <c r="E28" s="47" t="s">
        <v>62</v>
      </c>
      <c r="F28" s="48" t="n">
        <v>184769.56</v>
      </c>
      <c r="G28" s="47" t="s">
        <v>66</v>
      </c>
      <c r="H28" s="47" t="s">
        <v>40</v>
      </c>
      <c r="I28" s="47" t="s">
        <v>89</v>
      </c>
      <c r="J28" s="47" t="s">
        <v>28</v>
      </c>
      <c r="K28" s="47" t="s">
        <v>33</v>
      </c>
    </row>
    <row r="29" customFormat="false" ht="15" hidden="false" customHeight="false" outlineLevel="0" collapsed="false">
      <c r="A29" s="0" t="s">
        <v>154</v>
      </c>
      <c r="B29" s="0" t="s">
        <v>155</v>
      </c>
      <c r="D29" s="46" t="n">
        <v>46020</v>
      </c>
      <c r="E29" s="47" t="s">
        <v>60</v>
      </c>
      <c r="F29" s="48" t="n">
        <v>188720.5</v>
      </c>
      <c r="G29" s="47" t="s">
        <v>57</v>
      </c>
      <c r="H29" s="47" t="s">
        <v>48</v>
      </c>
      <c r="I29" s="47" t="s">
        <v>114</v>
      </c>
      <c r="J29" s="47" t="s">
        <v>28</v>
      </c>
      <c r="K29" s="47" t="s">
        <v>34</v>
      </c>
    </row>
    <row r="30" customFormat="false" ht="15" hidden="false" customHeight="false" outlineLevel="0" collapsed="false">
      <c r="A30" s="0" t="s">
        <v>156</v>
      </c>
      <c r="B30" s="0" t="s">
        <v>94</v>
      </c>
      <c r="D30" s="46" t="n">
        <v>45790</v>
      </c>
      <c r="E30" s="47" t="s">
        <v>58</v>
      </c>
      <c r="F30" s="48" t="n">
        <v>41097.85</v>
      </c>
      <c r="G30" s="47" t="s">
        <v>53</v>
      </c>
      <c r="H30" s="47" t="s">
        <v>45</v>
      </c>
      <c r="I30" s="47" t="s">
        <v>95</v>
      </c>
      <c r="J30" s="47" t="s">
        <v>28</v>
      </c>
      <c r="K30" s="47" t="s">
        <v>34</v>
      </c>
    </row>
    <row r="31" customFormat="false" ht="15" hidden="false" customHeight="false" outlineLevel="0" collapsed="false">
      <c r="A31" s="0" t="s">
        <v>157</v>
      </c>
      <c r="B31" s="0" t="s">
        <v>158</v>
      </c>
      <c r="D31" s="46" t="n">
        <v>46292</v>
      </c>
      <c r="E31" s="47" t="s">
        <v>55</v>
      </c>
      <c r="F31" s="48" t="n">
        <v>29544.52</v>
      </c>
      <c r="G31" s="47" t="s">
        <v>53</v>
      </c>
      <c r="H31" s="47" t="s">
        <v>46</v>
      </c>
      <c r="I31" s="47" t="s">
        <v>148</v>
      </c>
      <c r="J31" s="47" t="s">
        <v>28</v>
      </c>
      <c r="K31" s="47" t="s">
        <v>33</v>
      </c>
    </row>
    <row r="32" customFormat="false" ht="15" hidden="false" customHeight="false" outlineLevel="0" collapsed="false">
      <c r="A32" s="0" t="s">
        <v>159</v>
      </c>
      <c r="B32" s="0" t="s">
        <v>160</v>
      </c>
      <c r="D32" s="46" t="n">
        <v>46155</v>
      </c>
      <c r="E32" s="47" t="s">
        <v>59</v>
      </c>
      <c r="F32" s="48" t="n">
        <v>170248.28</v>
      </c>
      <c r="G32" s="47" t="s">
        <v>65</v>
      </c>
      <c r="H32" s="47" t="s">
        <v>44</v>
      </c>
      <c r="I32" s="47" t="s">
        <v>132</v>
      </c>
      <c r="J32" s="47" t="s">
        <v>28</v>
      </c>
      <c r="K32" s="47" t="s">
        <v>33</v>
      </c>
    </row>
    <row r="33" customFormat="false" ht="15" hidden="false" customHeight="false" outlineLevel="0" collapsed="false">
      <c r="A33" s="0" t="s">
        <v>161</v>
      </c>
      <c r="B33" s="0" t="s">
        <v>162</v>
      </c>
      <c r="D33" s="46" t="n">
        <v>45994</v>
      </c>
      <c r="E33" s="47" t="s">
        <v>58</v>
      </c>
      <c r="F33" s="48" t="n">
        <v>165626.07</v>
      </c>
      <c r="G33" s="47" t="s">
        <v>57</v>
      </c>
      <c r="H33" s="47" t="s">
        <v>46</v>
      </c>
      <c r="I33" s="47" t="s">
        <v>148</v>
      </c>
      <c r="J33" s="47" t="s">
        <v>28</v>
      </c>
      <c r="K33" s="47" t="s">
        <v>33</v>
      </c>
    </row>
    <row r="34" customFormat="false" ht="15" hidden="false" customHeight="false" outlineLevel="0" collapsed="false">
      <c r="A34" s="0" t="s">
        <v>163</v>
      </c>
      <c r="B34" s="0" t="s">
        <v>164</v>
      </c>
      <c r="C34" s="0" t="s">
        <v>165</v>
      </c>
      <c r="D34" s="46" t="n">
        <v>46050</v>
      </c>
      <c r="E34" s="47" t="s">
        <v>60</v>
      </c>
      <c r="F34" s="48" t="n">
        <v>109244.2</v>
      </c>
      <c r="G34" s="47" t="s">
        <v>57</v>
      </c>
      <c r="H34" s="47" t="s">
        <v>47</v>
      </c>
      <c r="I34" s="47" t="s">
        <v>166</v>
      </c>
      <c r="J34" s="47" t="s">
        <v>28</v>
      </c>
      <c r="K34" s="47" t="s">
        <v>33</v>
      </c>
    </row>
    <row r="35" customFormat="false" ht="15" hidden="false" customHeight="false" outlineLevel="0" collapsed="false">
      <c r="A35" s="0" t="s">
        <v>167</v>
      </c>
      <c r="B35" s="0" t="s">
        <v>168</v>
      </c>
      <c r="D35" s="46" t="n">
        <v>45802</v>
      </c>
      <c r="E35" s="47" t="s">
        <v>55</v>
      </c>
      <c r="F35" s="48" t="n">
        <v>52933.7</v>
      </c>
      <c r="G35" s="47" t="s">
        <v>53</v>
      </c>
      <c r="H35" s="47" t="s">
        <v>43</v>
      </c>
      <c r="I35" s="47" t="s">
        <v>117</v>
      </c>
      <c r="J35" s="47" t="s">
        <v>28</v>
      </c>
      <c r="K35" s="47" t="s">
        <v>34</v>
      </c>
    </row>
    <row r="36" customFormat="false" ht="15" hidden="false" customHeight="false" outlineLevel="0" collapsed="false">
      <c r="A36" s="0" t="s">
        <v>169</v>
      </c>
      <c r="B36" s="0" t="s">
        <v>170</v>
      </c>
      <c r="D36" s="46" t="n">
        <v>46143</v>
      </c>
      <c r="E36" s="47" t="s">
        <v>60</v>
      </c>
      <c r="F36" s="48" t="n">
        <v>140973.52</v>
      </c>
      <c r="G36" s="47" t="s">
        <v>57</v>
      </c>
      <c r="H36" s="47" t="s">
        <v>48</v>
      </c>
      <c r="I36" s="47" t="s">
        <v>111</v>
      </c>
      <c r="J36" s="47" t="s">
        <v>28</v>
      </c>
      <c r="K36" s="47" t="s">
        <v>34</v>
      </c>
    </row>
    <row r="37" customFormat="false" ht="15" hidden="false" customHeight="false" outlineLevel="0" collapsed="false">
      <c r="A37" s="0" t="s">
        <v>171</v>
      </c>
      <c r="B37" s="0" t="s">
        <v>172</v>
      </c>
      <c r="D37" s="46" t="n">
        <v>46108</v>
      </c>
      <c r="E37" s="47" t="s">
        <v>53</v>
      </c>
      <c r="F37" s="48" t="n">
        <v>151448.21</v>
      </c>
      <c r="G37" s="47" t="s">
        <v>57</v>
      </c>
      <c r="H37" s="47" t="s">
        <v>47</v>
      </c>
      <c r="I37" s="47" t="s">
        <v>108</v>
      </c>
      <c r="J37" s="47" t="s">
        <v>28</v>
      </c>
      <c r="K37" s="47" t="s">
        <v>33</v>
      </c>
    </row>
    <row r="38" customFormat="false" ht="15" hidden="false" customHeight="false" outlineLevel="0" collapsed="false">
      <c r="A38" s="0" t="s">
        <v>173</v>
      </c>
      <c r="B38" s="0" t="s">
        <v>174</v>
      </c>
      <c r="D38" s="46" t="n">
        <v>46258</v>
      </c>
      <c r="E38" s="47" t="s">
        <v>58</v>
      </c>
      <c r="F38" s="48" t="n">
        <v>47491.44</v>
      </c>
      <c r="G38" s="47" t="s">
        <v>66</v>
      </c>
      <c r="H38" s="47" t="s">
        <v>46</v>
      </c>
      <c r="I38" s="47" t="s">
        <v>148</v>
      </c>
      <c r="J38" s="47" t="s">
        <v>28</v>
      </c>
      <c r="K38" s="47" t="s">
        <v>34</v>
      </c>
    </row>
    <row r="39" customFormat="false" ht="15" hidden="false" customHeight="false" outlineLevel="0" collapsed="false">
      <c r="A39" s="0" t="s">
        <v>175</v>
      </c>
      <c r="B39" s="0" t="s">
        <v>176</v>
      </c>
      <c r="D39" s="46" t="n">
        <v>45905</v>
      </c>
      <c r="E39" s="47" t="s">
        <v>53</v>
      </c>
      <c r="F39" s="48" t="n">
        <v>5036.68</v>
      </c>
      <c r="G39" s="47" t="s">
        <v>66</v>
      </c>
      <c r="H39" s="47" t="s">
        <v>39</v>
      </c>
      <c r="I39" s="47" t="s">
        <v>177</v>
      </c>
      <c r="J39" s="47" t="s">
        <v>28</v>
      </c>
      <c r="K39" s="47" t="s">
        <v>34</v>
      </c>
    </row>
    <row r="40" customFormat="false" ht="15" hidden="false" customHeight="false" outlineLevel="0" collapsed="false">
      <c r="A40" s="0" t="s">
        <v>178</v>
      </c>
      <c r="B40" s="0" t="s">
        <v>104</v>
      </c>
      <c r="D40" s="46" t="n">
        <v>46244</v>
      </c>
      <c r="E40" s="47" t="s">
        <v>62</v>
      </c>
      <c r="F40" s="48" t="n">
        <v>72055.81</v>
      </c>
      <c r="G40" s="47" t="s">
        <v>68</v>
      </c>
      <c r="H40" s="47" t="s">
        <v>42</v>
      </c>
      <c r="I40" s="47" t="s">
        <v>105</v>
      </c>
      <c r="J40" s="47" t="s">
        <v>28</v>
      </c>
      <c r="K40" s="47" t="s">
        <v>34</v>
      </c>
    </row>
    <row r="41" customFormat="false" ht="15" hidden="false" customHeight="false" outlineLevel="0" collapsed="false">
      <c r="A41" s="0" t="s">
        <v>179</v>
      </c>
      <c r="B41" s="0" t="s">
        <v>134</v>
      </c>
      <c r="D41" s="46" t="n">
        <v>45882</v>
      </c>
      <c r="E41" s="47" t="s">
        <v>59</v>
      </c>
      <c r="F41" s="48" t="n">
        <v>35446.3</v>
      </c>
      <c r="G41" s="47" t="s">
        <v>53</v>
      </c>
      <c r="H41" s="47" t="s">
        <v>48</v>
      </c>
      <c r="I41" s="47" t="s">
        <v>114</v>
      </c>
      <c r="J41" s="47" t="s">
        <v>28</v>
      </c>
      <c r="K41" s="47" t="s">
        <v>34</v>
      </c>
    </row>
    <row r="42" customFormat="false" ht="15" hidden="false" customHeight="false" outlineLevel="0" collapsed="false">
      <c r="A42" s="0" t="s">
        <v>180</v>
      </c>
      <c r="B42" s="0" t="s">
        <v>181</v>
      </c>
      <c r="D42" s="46" t="n">
        <v>46091</v>
      </c>
      <c r="E42" s="47" t="s">
        <v>59</v>
      </c>
      <c r="F42" s="48" t="n">
        <v>78999.97</v>
      </c>
      <c r="G42" s="47" t="s">
        <v>53</v>
      </c>
      <c r="H42" s="47" t="s">
        <v>47</v>
      </c>
      <c r="I42" s="47" t="s">
        <v>108</v>
      </c>
      <c r="J42" s="47" t="s">
        <v>28</v>
      </c>
      <c r="K42" s="47" t="s">
        <v>33</v>
      </c>
    </row>
    <row r="43" customFormat="false" ht="15" hidden="false" customHeight="false" outlineLevel="0" collapsed="false">
      <c r="A43" s="0" t="s">
        <v>182</v>
      </c>
      <c r="B43" s="0" t="s">
        <v>183</v>
      </c>
      <c r="D43" s="46" t="n">
        <v>45858</v>
      </c>
      <c r="E43" s="47" t="s">
        <v>62</v>
      </c>
      <c r="F43" s="48" t="n">
        <v>14565.5</v>
      </c>
      <c r="G43" s="47" t="s">
        <v>53</v>
      </c>
      <c r="H43" s="47" t="s">
        <v>42</v>
      </c>
      <c r="I43" s="47" t="s">
        <v>105</v>
      </c>
      <c r="J43" s="47" t="s">
        <v>28</v>
      </c>
      <c r="K43" s="47" t="s">
        <v>34</v>
      </c>
    </row>
    <row r="44" customFormat="false" ht="15" hidden="false" customHeight="false" outlineLevel="0" collapsed="false">
      <c r="A44" s="0" t="s">
        <v>184</v>
      </c>
      <c r="B44" s="0" t="s">
        <v>185</v>
      </c>
      <c r="C44" s="0" t="s">
        <v>186</v>
      </c>
      <c r="D44" s="46" t="n">
        <v>46246</v>
      </c>
      <c r="E44" s="47" t="s">
        <v>62</v>
      </c>
      <c r="F44" s="48" t="n">
        <v>184557.5</v>
      </c>
      <c r="G44" s="47" t="s">
        <v>53</v>
      </c>
      <c r="H44" s="47" t="s">
        <v>47</v>
      </c>
      <c r="I44" s="47" t="s">
        <v>166</v>
      </c>
      <c r="J44" s="47" t="s">
        <v>28</v>
      </c>
      <c r="K44" s="47" t="s">
        <v>33</v>
      </c>
    </row>
    <row r="45" customFormat="false" ht="15" hidden="false" customHeight="false" outlineLevel="0" collapsed="false">
      <c r="A45" s="0" t="s">
        <v>187</v>
      </c>
      <c r="B45" s="0" t="s">
        <v>188</v>
      </c>
      <c r="C45" s="0" t="s">
        <v>189</v>
      </c>
      <c r="D45" s="46" t="n">
        <v>46197</v>
      </c>
      <c r="E45" s="47" t="s">
        <v>58</v>
      </c>
      <c r="F45" s="48" t="n">
        <v>172025.34</v>
      </c>
      <c r="G45" s="47" t="s">
        <v>53</v>
      </c>
      <c r="H45" s="47" t="s">
        <v>43</v>
      </c>
      <c r="I45" s="47" t="s">
        <v>117</v>
      </c>
      <c r="J45" s="47" t="s">
        <v>28</v>
      </c>
      <c r="K45" s="47" t="s">
        <v>34</v>
      </c>
    </row>
    <row r="46" customFormat="false" ht="15" hidden="false" customHeight="false" outlineLevel="0" collapsed="false">
      <c r="A46" s="0" t="s">
        <v>190</v>
      </c>
      <c r="B46" s="0" t="s">
        <v>191</v>
      </c>
      <c r="D46" s="46" t="n">
        <v>45856</v>
      </c>
      <c r="E46" s="47" t="s">
        <v>58</v>
      </c>
      <c r="F46" s="48" t="n">
        <v>90565.83</v>
      </c>
      <c r="G46" s="47" t="s">
        <v>68</v>
      </c>
      <c r="H46" s="47" t="s">
        <v>40</v>
      </c>
      <c r="I46" s="47" t="s">
        <v>83</v>
      </c>
      <c r="J46" s="47" t="s">
        <v>28</v>
      </c>
      <c r="K46" s="47" t="s">
        <v>33</v>
      </c>
    </row>
    <row r="47" customFormat="false" ht="15" hidden="false" customHeight="false" outlineLevel="0" collapsed="false">
      <c r="A47" s="0" t="s">
        <v>192</v>
      </c>
      <c r="B47" s="0" t="s">
        <v>193</v>
      </c>
      <c r="D47" s="46" t="n">
        <v>45873</v>
      </c>
      <c r="E47" s="47" t="s">
        <v>59</v>
      </c>
      <c r="F47" s="48" t="n">
        <v>30173.74</v>
      </c>
      <c r="G47" s="47" t="s">
        <v>65</v>
      </c>
      <c r="H47" s="47" t="s">
        <v>41</v>
      </c>
      <c r="I47" s="47" t="s">
        <v>86</v>
      </c>
      <c r="J47" s="47" t="s">
        <v>28</v>
      </c>
      <c r="K47" s="47" t="s">
        <v>34</v>
      </c>
    </row>
    <row r="48" customFormat="false" ht="15" hidden="false" customHeight="false" outlineLevel="0" collapsed="false">
      <c r="A48" s="0" t="s">
        <v>194</v>
      </c>
      <c r="B48" s="0" t="s">
        <v>195</v>
      </c>
      <c r="D48" s="46" t="n">
        <v>46141</v>
      </c>
      <c r="E48" s="47" t="s">
        <v>55</v>
      </c>
      <c r="F48" s="48" t="n">
        <v>147566.03</v>
      </c>
      <c r="G48" s="47" t="s">
        <v>65</v>
      </c>
      <c r="H48" s="47" t="s">
        <v>39</v>
      </c>
      <c r="I48" s="47" t="s">
        <v>145</v>
      </c>
      <c r="J48" s="47" t="s">
        <v>30</v>
      </c>
      <c r="K48" s="47" t="s">
        <v>34</v>
      </c>
    </row>
    <row r="49" customFormat="false" ht="15" hidden="false" customHeight="false" outlineLevel="0" collapsed="false">
      <c r="A49" s="0" t="s">
        <v>196</v>
      </c>
      <c r="B49" s="0" t="s">
        <v>197</v>
      </c>
      <c r="C49" s="0" t="s">
        <v>198</v>
      </c>
      <c r="D49" s="46" t="n">
        <v>46205</v>
      </c>
      <c r="E49" s="47" t="s">
        <v>60</v>
      </c>
      <c r="F49" s="48" t="n">
        <v>132480.42</v>
      </c>
      <c r="G49" s="47" t="s">
        <v>53</v>
      </c>
      <c r="H49" s="47" t="s">
        <v>44</v>
      </c>
      <c r="I49" s="47" t="s">
        <v>80</v>
      </c>
      <c r="J49" s="47" t="s">
        <v>28</v>
      </c>
      <c r="K49" s="47" t="s">
        <v>33</v>
      </c>
    </row>
    <row r="50" customFormat="false" ht="15" hidden="false" customHeight="false" outlineLevel="0" collapsed="false">
      <c r="A50" s="0" t="s">
        <v>199</v>
      </c>
      <c r="B50" s="0" t="s">
        <v>200</v>
      </c>
      <c r="D50" s="46" t="n">
        <v>46048</v>
      </c>
      <c r="E50" s="47" t="s">
        <v>59</v>
      </c>
      <c r="F50" s="48" t="n">
        <v>196605.75</v>
      </c>
      <c r="G50" s="47" t="s">
        <v>57</v>
      </c>
      <c r="H50" s="47" t="s">
        <v>43</v>
      </c>
      <c r="I50" s="47" t="s">
        <v>201</v>
      </c>
      <c r="J50" s="47" t="s">
        <v>28</v>
      </c>
      <c r="K50" s="47" t="s">
        <v>34</v>
      </c>
    </row>
    <row r="51" customFormat="false" ht="15" hidden="false" customHeight="false" outlineLevel="0" collapsed="false">
      <c r="A51" s="0" t="s">
        <v>202</v>
      </c>
      <c r="B51" s="0" t="s">
        <v>203</v>
      </c>
      <c r="D51" s="46" t="n">
        <v>46150</v>
      </c>
      <c r="E51" s="47" t="s">
        <v>53</v>
      </c>
      <c r="F51" s="48" t="n">
        <v>66500.34</v>
      </c>
      <c r="G51" s="47" t="s">
        <v>65</v>
      </c>
      <c r="H51" s="47" t="s">
        <v>39</v>
      </c>
      <c r="I51" s="47" t="s">
        <v>177</v>
      </c>
      <c r="J51" s="47" t="s">
        <v>28</v>
      </c>
      <c r="K51" s="47" t="s">
        <v>33</v>
      </c>
    </row>
    <row r="52" customFormat="false" ht="15" hidden="false" customHeight="false" outlineLevel="0" collapsed="false">
      <c r="A52" s="0" t="s">
        <v>204</v>
      </c>
      <c r="B52" s="0" t="s">
        <v>205</v>
      </c>
      <c r="D52" s="46" t="n">
        <v>45785</v>
      </c>
      <c r="E52" s="47" t="s">
        <v>59</v>
      </c>
      <c r="F52" s="48" t="n">
        <v>177420.43</v>
      </c>
      <c r="G52" s="47" t="s">
        <v>53</v>
      </c>
      <c r="H52" s="47" t="s">
        <v>40</v>
      </c>
      <c r="I52" s="47" t="s">
        <v>89</v>
      </c>
      <c r="J52" s="47" t="s">
        <v>28</v>
      </c>
      <c r="K52" s="47" t="s">
        <v>33</v>
      </c>
    </row>
    <row r="53" customFormat="false" ht="15" hidden="false" customHeight="false" outlineLevel="0" collapsed="false">
      <c r="A53" s="0" t="s">
        <v>206</v>
      </c>
      <c r="B53" s="0" t="s">
        <v>207</v>
      </c>
      <c r="D53" s="46" t="n">
        <v>45809</v>
      </c>
      <c r="E53" s="47" t="s">
        <v>61</v>
      </c>
      <c r="F53" s="48" t="n">
        <v>175679.33</v>
      </c>
      <c r="G53" s="47" t="s">
        <v>66</v>
      </c>
      <c r="H53" s="47" t="s">
        <v>45</v>
      </c>
      <c r="I53" s="47" t="s">
        <v>151</v>
      </c>
      <c r="J53" s="47" t="s">
        <v>30</v>
      </c>
      <c r="K53" s="47" t="s">
        <v>34</v>
      </c>
    </row>
    <row r="54" customFormat="false" ht="15" hidden="false" customHeight="false" outlineLevel="0" collapsed="false">
      <c r="A54" s="0" t="s">
        <v>208</v>
      </c>
      <c r="B54" s="0" t="s">
        <v>209</v>
      </c>
      <c r="D54" s="46" t="n">
        <v>45781</v>
      </c>
      <c r="E54" s="47" t="s">
        <v>59</v>
      </c>
      <c r="F54" s="48" t="n">
        <v>109726.04</v>
      </c>
      <c r="G54" s="47" t="s">
        <v>68</v>
      </c>
      <c r="H54" s="47" t="s">
        <v>40</v>
      </c>
      <c r="I54" s="47" t="s">
        <v>89</v>
      </c>
      <c r="J54" s="47" t="s">
        <v>28</v>
      </c>
      <c r="K54" s="47" t="s">
        <v>33</v>
      </c>
    </row>
    <row r="55" customFormat="false" ht="15" hidden="false" customHeight="false" outlineLevel="0" collapsed="false">
      <c r="A55" s="0" t="s">
        <v>210</v>
      </c>
      <c r="B55" s="0" t="s">
        <v>211</v>
      </c>
      <c r="D55" s="46" t="n">
        <v>46241</v>
      </c>
      <c r="E55" s="47" t="s">
        <v>61</v>
      </c>
      <c r="F55" s="48" t="n">
        <v>73630.43</v>
      </c>
      <c r="G55" s="47" t="s">
        <v>53</v>
      </c>
      <c r="H55" s="47" t="s">
        <v>48</v>
      </c>
      <c r="I55" s="47" t="s">
        <v>212</v>
      </c>
      <c r="J55" s="47" t="s">
        <v>28</v>
      </c>
      <c r="K55" s="47" t="s">
        <v>34</v>
      </c>
    </row>
    <row r="56" customFormat="false" ht="15" hidden="false" customHeight="false" outlineLevel="0" collapsed="false">
      <c r="A56" s="0" t="s">
        <v>213</v>
      </c>
      <c r="B56" s="0" t="s">
        <v>214</v>
      </c>
      <c r="D56" s="46" t="n">
        <v>46114</v>
      </c>
      <c r="E56" s="47" t="s">
        <v>58</v>
      </c>
      <c r="F56" s="48" t="n">
        <v>40036.02</v>
      </c>
      <c r="G56" s="47" t="s">
        <v>65</v>
      </c>
      <c r="H56" s="47" t="s">
        <v>40</v>
      </c>
      <c r="I56" s="47" t="s">
        <v>89</v>
      </c>
      <c r="J56" s="47" t="s">
        <v>28</v>
      </c>
      <c r="K56" s="47" t="s">
        <v>34</v>
      </c>
    </row>
    <row r="57" customFormat="false" ht="15" hidden="false" customHeight="false" outlineLevel="0" collapsed="false">
      <c r="A57" s="0" t="s">
        <v>215</v>
      </c>
      <c r="B57" s="0" t="s">
        <v>216</v>
      </c>
      <c r="D57" s="46" t="n">
        <v>46014</v>
      </c>
      <c r="E57" s="47" t="s">
        <v>53</v>
      </c>
      <c r="F57" s="48" t="n">
        <v>99219.16</v>
      </c>
      <c r="G57" s="47" t="s">
        <v>53</v>
      </c>
      <c r="H57" s="47" t="s">
        <v>45</v>
      </c>
      <c r="I57" s="47" t="s">
        <v>217</v>
      </c>
      <c r="J57" s="47" t="s">
        <v>28</v>
      </c>
      <c r="K57" s="47" t="s">
        <v>34</v>
      </c>
    </row>
    <row r="58" customFormat="false" ht="15" hidden="false" customHeight="false" outlineLevel="0" collapsed="false">
      <c r="A58" s="0" t="s">
        <v>218</v>
      </c>
      <c r="B58" s="0" t="s">
        <v>219</v>
      </c>
      <c r="D58" s="46" t="n">
        <v>45951</v>
      </c>
      <c r="E58" s="47" t="s">
        <v>59</v>
      </c>
      <c r="F58" s="48" t="n">
        <v>145375.09</v>
      </c>
      <c r="G58" s="47" t="s">
        <v>65</v>
      </c>
      <c r="H58" s="47" t="s">
        <v>40</v>
      </c>
      <c r="I58" s="47" t="s">
        <v>83</v>
      </c>
      <c r="J58" s="47" t="s">
        <v>28</v>
      </c>
      <c r="K58" s="47" t="s">
        <v>33</v>
      </c>
    </row>
    <row r="59" customFormat="false" ht="15" hidden="false" customHeight="false" outlineLevel="0" collapsed="false">
      <c r="A59" s="0" t="s">
        <v>220</v>
      </c>
      <c r="B59" s="0" t="s">
        <v>221</v>
      </c>
      <c r="D59" s="46" t="n">
        <v>46240</v>
      </c>
      <c r="E59" s="47" t="s">
        <v>61</v>
      </c>
      <c r="F59" s="48" t="n">
        <v>75612.48</v>
      </c>
      <c r="G59" s="47" t="s">
        <v>68</v>
      </c>
      <c r="H59" s="47" t="s">
        <v>44</v>
      </c>
      <c r="I59" s="47" t="s">
        <v>80</v>
      </c>
      <c r="J59" s="47" t="s">
        <v>29</v>
      </c>
      <c r="K59" s="47" t="s">
        <v>34</v>
      </c>
    </row>
    <row r="60" customFormat="false" ht="15" hidden="false" customHeight="false" outlineLevel="0" collapsed="false">
      <c r="A60" s="0" t="s">
        <v>222</v>
      </c>
      <c r="B60" s="0" t="s">
        <v>223</v>
      </c>
      <c r="D60" s="46" t="n">
        <v>45941</v>
      </c>
      <c r="E60" s="47" t="s">
        <v>60</v>
      </c>
      <c r="F60" s="48" t="n">
        <v>60943.25</v>
      </c>
      <c r="G60" s="47" t="s">
        <v>53</v>
      </c>
      <c r="H60" s="47" t="s">
        <v>42</v>
      </c>
      <c r="I60" s="47" t="s">
        <v>105</v>
      </c>
      <c r="J60" s="47" t="s">
        <v>28</v>
      </c>
      <c r="K60" s="47" t="s">
        <v>34</v>
      </c>
    </row>
    <row r="61" customFormat="false" ht="15" hidden="false" customHeight="false" outlineLevel="0" collapsed="false">
      <c r="A61" s="0" t="s">
        <v>224</v>
      </c>
      <c r="B61" s="0" t="s">
        <v>225</v>
      </c>
      <c r="D61" s="46" t="n">
        <v>46194</v>
      </c>
      <c r="E61" s="47" t="s">
        <v>53</v>
      </c>
      <c r="F61" s="48" t="n">
        <v>95508.42</v>
      </c>
      <c r="G61" s="47" t="s">
        <v>68</v>
      </c>
      <c r="H61" s="47" t="s">
        <v>44</v>
      </c>
      <c r="I61" s="47" t="s">
        <v>226</v>
      </c>
      <c r="J61" s="47" t="s">
        <v>28</v>
      </c>
      <c r="K61" s="47" t="s">
        <v>33</v>
      </c>
    </row>
    <row r="62" customFormat="false" ht="15" hidden="false" customHeight="false" outlineLevel="0" collapsed="false">
      <c r="A62" s="0" t="s">
        <v>227</v>
      </c>
      <c r="B62" s="0" t="s">
        <v>228</v>
      </c>
      <c r="D62" s="46" t="n">
        <v>45993</v>
      </c>
      <c r="E62" s="47" t="s">
        <v>55</v>
      </c>
      <c r="F62" s="48" t="n">
        <v>117684.99</v>
      </c>
      <c r="G62" s="47" t="s">
        <v>68</v>
      </c>
      <c r="H62" s="47" t="s">
        <v>46</v>
      </c>
      <c r="I62" s="47" t="s">
        <v>121</v>
      </c>
      <c r="J62" s="47" t="s">
        <v>29</v>
      </c>
      <c r="K62" s="47" t="s">
        <v>33</v>
      </c>
    </row>
    <row r="63" customFormat="false" ht="15" hidden="false" customHeight="false" outlineLevel="0" collapsed="false">
      <c r="A63" s="0" t="s">
        <v>229</v>
      </c>
      <c r="B63" s="0" t="s">
        <v>205</v>
      </c>
      <c r="D63" s="46" t="n">
        <v>46069</v>
      </c>
      <c r="E63" s="47" t="s">
        <v>62</v>
      </c>
      <c r="F63" s="48" t="n">
        <v>67629.13</v>
      </c>
      <c r="G63" s="47" t="s">
        <v>66</v>
      </c>
      <c r="H63" s="47" t="s">
        <v>40</v>
      </c>
      <c r="I63" s="47" t="s">
        <v>89</v>
      </c>
      <c r="J63" s="47" t="s">
        <v>28</v>
      </c>
      <c r="K63" s="47" t="s">
        <v>33</v>
      </c>
    </row>
    <row r="64" customFormat="false" ht="15" hidden="false" customHeight="false" outlineLevel="0" collapsed="false">
      <c r="A64" s="0" t="s">
        <v>230</v>
      </c>
      <c r="B64" s="0" t="s">
        <v>231</v>
      </c>
      <c r="D64" s="46" t="n">
        <v>45773</v>
      </c>
      <c r="E64" s="47" t="s">
        <v>62</v>
      </c>
      <c r="F64" s="48" t="n">
        <v>14143.3</v>
      </c>
      <c r="G64" s="47" t="s">
        <v>57</v>
      </c>
      <c r="H64" s="47" t="s">
        <v>48</v>
      </c>
      <c r="I64" s="47" t="s">
        <v>111</v>
      </c>
      <c r="J64" s="47" t="s">
        <v>28</v>
      </c>
      <c r="K64" s="47" t="s">
        <v>33</v>
      </c>
    </row>
    <row r="65" customFormat="false" ht="15" hidden="false" customHeight="false" outlineLevel="0" collapsed="false">
      <c r="A65" s="0" t="s">
        <v>232</v>
      </c>
      <c r="B65" s="0" t="s">
        <v>233</v>
      </c>
      <c r="D65" s="46" t="n">
        <v>46252</v>
      </c>
      <c r="E65" s="47" t="s">
        <v>61</v>
      </c>
      <c r="F65" s="48" t="n">
        <v>92575.19</v>
      </c>
      <c r="G65" s="47" t="s">
        <v>68</v>
      </c>
      <c r="H65" s="47" t="s">
        <v>43</v>
      </c>
      <c r="I65" s="47" t="s">
        <v>102</v>
      </c>
      <c r="J65" s="47" t="s">
        <v>28</v>
      </c>
      <c r="K65" s="47" t="s">
        <v>33</v>
      </c>
    </row>
    <row r="66" customFormat="false" ht="15" hidden="false" customHeight="false" outlineLevel="0" collapsed="false">
      <c r="A66" s="0" t="s">
        <v>234</v>
      </c>
      <c r="B66" s="0" t="s">
        <v>235</v>
      </c>
      <c r="D66" s="46" t="n">
        <v>46070</v>
      </c>
      <c r="E66" s="47" t="s">
        <v>60</v>
      </c>
      <c r="F66" s="48" t="n">
        <v>102922.97</v>
      </c>
      <c r="G66" s="47" t="s">
        <v>66</v>
      </c>
      <c r="H66" s="47" t="s">
        <v>47</v>
      </c>
      <c r="I66" s="47" t="s">
        <v>108</v>
      </c>
      <c r="J66" s="47" t="s">
        <v>28</v>
      </c>
      <c r="K66" s="47" t="s">
        <v>34</v>
      </c>
    </row>
    <row r="67" customFormat="false" ht="15" hidden="false" customHeight="false" outlineLevel="0" collapsed="false">
      <c r="A67" s="0" t="s">
        <v>236</v>
      </c>
      <c r="B67" s="0" t="s">
        <v>237</v>
      </c>
      <c r="D67" s="46" t="n">
        <v>46095</v>
      </c>
      <c r="E67" s="47" t="s">
        <v>61</v>
      </c>
      <c r="F67" s="48" t="n">
        <v>152270.99</v>
      </c>
      <c r="G67" s="47" t="s">
        <v>65</v>
      </c>
      <c r="H67" s="47" t="s">
        <v>47</v>
      </c>
      <c r="I67" s="47" t="s">
        <v>108</v>
      </c>
      <c r="J67" s="47" t="s">
        <v>28</v>
      </c>
      <c r="K67" s="47" t="s">
        <v>34</v>
      </c>
    </row>
    <row r="68" customFormat="false" ht="15" hidden="false" customHeight="false" outlineLevel="0" collapsed="false">
      <c r="A68" s="0" t="s">
        <v>238</v>
      </c>
      <c r="B68" s="0" t="s">
        <v>239</v>
      </c>
      <c r="D68" s="46" t="n">
        <v>46122</v>
      </c>
      <c r="E68" s="47" t="s">
        <v>60</v>
      </c>
      <c r="F68" s="48" t="n">
        <v>88680.19</v>
      </c>
      <c r="G68" s="47" t="s">
        <v>68</v>
      </c>
      <c r="H68" s="47" t="s">
        <v>44</v>
      </c>
      <c r="I68" s="47" t="s">
        <v>226</v>
      </c>
      <c r="J68" s="47" t="s">
        <v>28</v>
      </c>
      <c r="K68" s="47" t="s">
        <v>33</v>
      </c>
    </row>
    <row r="69" customFormat="false" ht="15" hidden="false" customHeight="false" outlineLevel="0" collapsed="false">
      <c r="A69" s="0" t="s">
        <v>240</v>
      </c>
      <c r="B69" s="0" t="s">
        <v>241</v>
      </c>
      <c r="D69" s="46" t="n">
        <v>45993</v>
      </c>
      <c r="E69" s="47" t="s">
        <v>53</v>
      </c>
      <c r="F69" s="48" t="n">
        <v>196415.09</v>
      </c>
      <c r="G69" s="47" t="s">
        <v>57</v>
      </c>
      <c r="H69" s="47" t="s">
        <v>46</v>
      </c>
      <c r="I69" s="47" t="s">
        <v>242</v>
      </c>
      <c r="J69" s="47" t="s">
        <v>28</v>
      </c>
      <c r="K69" s="47" t="s">
        <v>34</v>
      </c>
    </row>
    <row r="70" customFormat="false" ht="15" hidden="false" customHeight="false" outlineLevel="0" collapsed="false">
      <c r="A70" s="0" t="s">
        <v>243</v>
      </c>
      <c r="B70" s="0" t="s">
        <v>244</v>
      </c>
      <c r="D70" s="46" t="n">
        <v>46135</v>
      </c>
      <c r="E70" s="47" t="s">
        <v>55</v>
      </c>
      <c r="F70" s="48" t="n">
        <v>42241.36</v>
      </c>
      <c r="G70" s="47" t="s">
        <v>57</v>
      </c>
      <c r="H70" s="47" t="s">
        <v>47</v>
      </c>
      <c r="I70" s="47" t="s">
        <v>245</v>
      </c>
      <c r="J70" s="47" t="s">
        <v>28</v>
      </c>
      <c r="K70" s="47" t="s">
        <v>33</v>
      </c>
    </row>
    <row r="71" customFormat="false" ht="15" hidden="false" customHeight="false" outlineLevel="0" collapsed="false">
      <c r="A71" s="0" t="s">
        <v>246</v>
      </c>
      <c r="B71" s="0" t="s">
        <v>247</v>
      </c>
      <c r="D71" s="46" t="n">
        <v>45749</v>
      </c>
      <c r="E71" s="47" t="s">
        <v>59</v>
      </c>
      <c r="F71" s="48" t="n">
        <v>114550.37</v>
      </c>
      <c r="G71" s="47" t="s">
        <v>65</v>
      </c>
      <c r="H71" s="47" t="s">
        <v>44</v>
      </c>
      <c r="I71" s="47" t="s">
        <v>80</v>
      </c>
      <c r="J71" s="47" t="s">
        <v>28</v>
      </c>
      <c r="K71" s="47" t="s">
        <v>34</v>
      </c>
    </row>
    <row r="72" customFormat="false" ht="15" hidden="false" customHeight="false" outlineLevel="0" collapsed="false">
      <c r="A72" s="0" t="s">
        <v>248</v>
      </c>
      <c r="B72" s="0" t="s">
        <v>164</v>
      </c>
      <c r="D72" s="46" t="n">
        <v>45746</v>
      </c>
      <c r="E72" s="47" t="s">
        <v>55</v>
      </c>
      <c r="F72" s="48" t="n">
        <v>133380.91</v>
      </c>
      <c r="G72" s="47" t="s">
        <v>68</v>
      </c>
      <c r="H72" s="47" t="s">
        <v>47</v>
      </c>
      <c r="I72" s="47" t="s">
        <v>166</v>
      </c>
      <c r="J72" s="47" t="s">
        <v>30</v>
      </c>
      <c r="K72" s="47" t="s">
        <v>33</v>
      </c>
    </row>
    <row r="73" customFormat="false" ht="15" hidden="false" customHeight="false" outlineLevel="0" collapsed="false">
      <c r="A73" s="0" t="s">
        <v>249</v>
      </c>
      <c r="B73" s="0" t="s">
        <v>250</v>
      </c>
      <c r="D73" s="46" t="n">
        <v>45723</v>
      </c>
      <c r="E73" s="47" t="s">
        <v>53</v>
      </c>
      <c r="F73" s="48" t="n">
        <v>28529.92</v>
      </c>
      <c r="G73" s="47" t="s">
        <v>65</v>
      </c>
      <c r="H73" s="47" t="s">
        <v>39</v>
      </c>
      <c r="I73" s="47" t="s">
        <v>177</v>
      </c>
      <c r="J73" s="47" t="s">
        <v>28</v>
      </c>
      <c r="K73" s="47" t="s">
        <v>33</v>
      </c>
    </row>
    <row r="74" customFormat="false" ht="15" hidden="false" customHeight="false" outlineLevel="0" collapsed="false">
      <c r="A74" s="0" t="s">
        <v>251</v>
      </c>
      <c r="B74" s="0" t="s">
        <v>252</v>
      </c>
      <c r="D74" s="46" t="n">
        <v>46258</v>
      </c>
      <c r="E74" s="47" t="s">
        <v>55</v>
      </c>
      <c r="F74" s="48" t="n">
        <v>164497.51</v>
      </c>
      <c r="G74" s="47" t="s">
        <v>66</v>
      </c>
      <c r="H74" s="47" t="s">
        <v>40</v>
      </c>
      <c r="I74" s="47" t="s">
        <v>253</v>
      </c>
      <c r="J74" s="47" t="s">
        <v>28</v>
      </c>
      <c r="K74" s="47" t="s">
        <v>34</v>
      </c>
    </row>
    <row r="75" customFormat="false" ht="15" hidden="false" customHeight="false" outlineLevel="0" collapsed="false">
      <c r="A75" s="0" t="s">
        <v>254</v>
      </c>
      <c r="B75" s="0" t="s">
        <v>255</v>
      </c>
      <c r="D75" s="46" t="n">
        <v>45690</v>
      </c>
      <c r="E75" s="47" t="s">
        <v>55</v>
      </c>
      <c r="F75" s="48" t="n">
        <v>54084.91</v>
      </c>
      <c r="G75" s="47" t="s">
        <v>53</v>
      </c>
      <c r="H75" s="47" t="s">
        <v>47</v>
      </c>
      <c r="I75" s="47" t="s">
        <v>166</v>
      </c>
      <c r="J75" s="47" t="s">
        <v>28</v>
      </c>
      <c r="K75" s="47" t="s">
        <v>34</v>
      </c>
    </row>
    <row r="76" customFormat="false" ht="15" hidden="false" customHeight="false" outlineLevel="0" collapsed="false">
      <c r="A76" s="0" t="s">
        <v>256</v>
      </c>
      <c r="B76" s="0" t="s">
        <v>257</v>
      </c>
      <c r="D76" s="46" t="n">
        <v>46261</v>
      </c>
      <c r="E76" s="47" t="s">
        <v>58</v>
      </c>
      <c r="F76" s="48" t="n">
        <v>101762.76</v>
      </c>
      <c r="G76" s="47" t="s">
        <v>66</v>
      </c>
      <c r="H76" s="47" t="s">
        <v>45</v>
      </c>
      <c r="I76" s="47" t="s">
        <v>151</v>
      </c>
      <c r="J76" s="47" t="s">
        <v>28</v>
      </c>
      <c r="K76" s="47" t="s">
        <v>34</v>
      </c>
    </row>
    <row r="77" customFormat="false" ht="15" hidden="false" customHeight="false" outlineLevel="0" collapsed="false">
      <c r="A77" s="0" t="s">
        <v>258</v>
      </c>
      <c r="B77" s="0" t="s">
        <v>259</v>
      </c>
      <c r="D77" s="46" t="n">
        <v>46128</v>
      </c>
      <c r="E77" s="47" t="s">
        <v>61</v>
      </c>
      <c r="F77" s="48" t="n">
        <v>160995.49</v>
      </c>
      <c r="G77" s="47" t="s">
        <v>57</v>
      </c>
      <c r="H77" s="47" t="s">
        <v>42</v>
      </c>
      <c r="I77" s="47" t="s">
        <v>137</v>
      </c>
      <c r="J77" s="47" t="s">
        <v>28</v>
      </c>
      <c r="K77" s="47" t="s">
        <v>33</v>
      </c>
    </row>
    <row r="78" customFormat="false" ht="15" hidden="false" customHeight="false" outlineLevel="0" collapsed="false">
      <c r="A78" s="0" t="s">
        <v>260</v>
      </c>
      <c r="B78" s="0" t="s">
        <v>261</v>
      </c>
      <c r="D78" s="46" t="n">
        <v>46159</v>
      </c>
      <c r="E78" s="47" t="s">
        <v>59</v>
      </c>
      <c r="F78" s="48" t="n">
        <v>58536.21</v>
      </c>
      <c r="G78" s="47" t="s">
        <v>53</v>
      </c>
      <c r="H78" s="47" t="s">
        <v>43</v>
      </c>
      <c r="I78" s="47" t="s">
        <v>102</v>
      </c>
      <c r="J78" s="47" t="s">
        <v>28</v>
      </c>
      <c r="K78" s="47" t="s">
        <v>33</v>
      </c>
    </row>
    <row r="79" customFormat="false" ht="15" hidden="false" customHeight="false" outlineLevel="0" collapsed="false">
      <c r="A79" s="0" t="s">
        <v>262</v>
      </c>
      <c r="B79" s="0" t="s">
        <v>263</v>
      </c>
      <c r="D79" s="46" t="n">
        <v>46132</v>
      </c>
      <c r="E79" s="47" t="s">
        <v>55</v>
      </c>
      <c r="F79" s="48" t="n">
        <v>119368.19</v>
      </c>
      <c r="G79" s="47" t="s">
        <v>68</v>
      </c>
      <c r="H79" s="47" t="s">
        <v>46</v>
      </c>
      <c r="I79" s="47" t="s">
        <v>121</v>
      </c>
      <c r="J79" s="47" t="s">
        <v>28</v>
      </c>
      <c r="K79" s="47" t="s">
        <v>34</v>
      </c>
    </row>
    <row r="80" customFormat="false" ht="15" hidden="false" customHeight="false" outlineLevel="0" collapsed="false">
      <c r="A80" s="0" t="s">
        <v>264</v>
      </c>
      <c r="B80" s="0" t="s">
        <v>265</v>
      </c>
      <c r="D80" s="46" t="n">
        <v>46275</v>
      </c>
      <c r="E80" s="47" t="s">
        <v>59</v>
      </c>
      <c r="F80" s="48" t="n">
        <v>192640.5</v>
      </c>
      <c r="G80" s="47" t="s">
        <v>66</v>
      </c>
      <c r="H80" s="47" t="s">
        <v>41</v>
      </c>
      <c r="I80" s="47" t="s">
        <v>86</v>
      </c>
      <c r="J80" s="47" t="s">
        <v>28</v>
      </c>
      <c r="K80" s="47" t="s">
        <v>33</v>
      </c>
    </row>
    <row r="81" customFormat="false" ht="15" hidden="false" customHeight="false" outlineLevel="0" collapsed="false">
      <c r="A81" s="0" t="s">
        <v>266</v>
      </c>
      <c r="B81" s="0" t="s">
        <v>267</v>
      </c>
      <c r="D81" s="46" t="n">
        <v>45732</v>
      </c>
      <c r="E81" s="47" t="s">
        <v>59</v>
      </c>
      <c r="F81" s="48" t="n">
        <v>169933.23</v>
      </c>
      <c r="G81" s="47" t="s">
        <v>53</v>
      </c>
      <c r="H81" s="47" t="s">
        <v>46</v>
      </c>
      <c r="I81" s="47" t="s">
        <v>242</v>
      </c>
      <c r="J81" s="47" t="s">
        <v>28</v>
      </c>
      <c r="K81" s="47" t="s">
        <v>34</v>
      </c>
    </row>
    <row r="82" customFormat="false" ht="15" hidden="false" customHeight="false" outlineLevel="0" collapsed="false">
      <c r="A82" s="0" t="s">
        <v>268</v>
      </c>
      <c r="B82" s="0" t="s">
        <v>269</v>
      </c>
      <c r="D82" s="46" t="n">
        <v>45696</v>
      </c>
      <c r="E82" s="47" t="s">
        <v>55</v>
      </c>
      <c r="F82" s="48" t="n">
        <v>11384.95</v>
      </c>
      <c r="G82" s="47" t="s">
        <v>66</v>
      </c>
      <c r="H82" s="47" t="s">
        <v>46</v>
      </c>
      <c r="I82" s="47" t="s">
        <v>242</v>
      </c>
      <c r="J82" s="47" t="s">
        <v>28</v>
      </c>
      <c r="K82" s="47" t="s">
        <v>34</v>
      </c>
    </row>
    <row r="83" customFormat="false" ht="15" hidden="false" customHeight="false" outlineLevel="0" collapsed="false">
      <c r="A83" s="0" t="s">
        <v>270</v>
      </c>
      <c r="B83" s="0" t="s">
        <v>271</v>
      </c>
      <c r="D83" s="46" t="n">
        <v>45780</v>
      </c>
      <c r="E83" s="47" t="s">
        <v>53</v>
      </c>
      <c r="F83" s="48" t="n">
        <v>133073.12</v>
      </c>
      <c r="G83" s="47" t="s">
        <v>65</v>
      </c>
      <c r="H83" s="47" t="s">
        <v>41</v>
      </c>
      <c r="I83" s="47" t="s">
        <v>272</v>
      </c>
      <c r="J83" s="47" t="s">
        <v>29</v>
      </c>
      <c r="K83" s="47" t="s">
        <v>33</v>
      </c>
    </row>
    <row r="84" customFormat="false" ht="15" hidden="false" customHeight="false" outlineLevel="0" collapsed="false">
      <c r="A84" s="0" t="s">
        <v>273</v>
      </c>
      <c r="B84" s="0" t="s">
        <v>274</v>
      </c>
      <c r="D84" s="46" t="n">
        <v>45949</v>
      </c>
      <c r="E84" s="47" t="s">
        <v>55</v>
      </c>
      <c r="F84" s="48" t="n">
        <v>173658.62</v>
      </c>
      <c r="G84" s="47" t="s">
        <v>65</v>
      </c>
      <c r="H84" s="47" t="s">
        <v>42</v>
      </c>
      <c r="I84" s="47" t="s">
        <v>137</v>
      </c>
      <c r="J84" s="47" t="s">
        <v>28</v>
      </c>
      <c r="K84" s="47" t="s">
        <v>33</v>
      </c>
    </row>
    <row r="85" customFormat="false" ht="15" hidden="false" customHeight="false" outlineLevel="0" collapsed="false">
      <c r="A85" s="0" t="s">
        <v>275</v>
      </c>
      <c r="B85" s="0" t="s">
        <v>150</v>
      </c>
      <c r="D85" s="46" t="n">
        <v>45766</v>
      </c>
      <c r="E85" s="47" t="s">
        <v>59</v>
      </c>
      <c r="F85" s="48" t="n">
        <v>169933.54</v>
      </c>
      <c r="G85" s="47" t="s">
        <v>68</v>
      </c>
      <c r="H85" s="47" t="s">
        <v>45</v>
      </c>
      <c r="I85" s="47" t="s">
        <v>151</v>
      </c>
      <c r="J85" s="47" t="s">
        <v>28</v>
      </c>
      <c r="K85" s="47" t="s">
        <v>34</v>
      </c>
    </row>
    <row r="86" customFormat="false" ht="15" hidden="false" customHeight="false" outlineLevel="0" collapsed="false">
      <c r="A86" s="0" t="s">
        <v>276</v>
      </c>
      <c r="B86" s="0" t="s">
        <v>277</v>
      </c>
      <c r="D86" s="46" t="n">
        <v>46254</v>
      </c>
      <c r="E86" s="47" t="s">
        <v>60</v>
      </c>
      <c r="F86" s="48" t="n">
        <v>30226.75</v>
      </c>
      <c r="G86" s="47" t="s">
        <v>66</v>
      </c>
      <c r="H86" s="47" t="s">
        <v>47</v>
      </c>
      <c r="I86" s="47" t="s">
        <v>166</v>
      </c>
      <c r="J86" s="47" t="s">
        <v>28</v>
      </c>
      <c r="K86" s="47" t="s">
        <v>33</v>
      </c>
    </row>
    <row r="87" customFormat="false" ht="15" hidden="false" customHeight="false" outlineLevel="0" collapsed="false">
      <c r="A87" s="0" t="s">
        <v>278</v>
      </c>
      <c r="B87" s="0" t="s">
        <v>139</v>
      </c>
      <c r="D87" s="46" t="n">
        <v>45705</v>
      </c>
      <c r="E87" s="47" t="s">
        <v>58</v>
      </c>
      <c r="F87" s="48" t="n">
        <v>112510.06</v>
      </c>
      <c r="G87" s="47" t="s">
        <v>57</v>
      </c>
      <c r="H87" s="47" t="s">
        <v>41</v>
      </c>
      <c r="I87" s="47" t="s">
        <v>86</v>
      </c>
      <c r="J87" s="47" t="s">
        <v>29</v>
      </c>
      <c r="K87" s="47" t="s">
        <v>34</v>
      </c>
    </row>
    <row r="88" customFormat="false" ht="15" hidden="false" customHeight="false" outlineLevel="0" collapsed="false">
      <c r="A88" s="0" t="s">
        <v>279</v>
      </c>
      <c r="B88" s="0" t="s">
        <v>280</v>
      </c>
      <c r="C88" s="0" t="s">
        <v>281</v>
      </c>
      <c r="D88" s="46" t="n">
        <v>45666</v>
      </c>
      <c r="E88" s="47" t="s">
        <v>59</v>
      </c>
      <c r="F88" s="48" t="n">
        <v>147400.04</v>
      </c>
      <c r="G88" s="47" t="s">
        <v>66</v>
      </c>
      <c r="H88" s="47" t="s">
        <v>48</v>
      </c>
      <c r="I88" s="47" t="s">
        <v>212</v>
      </c>
      <c r="J88" s="47" t="s">
        <v>28</v>
      </c>
      <c r="K88" s="47" t="s">
        <v>34</v>
      </c>
    </row>
    <row r="89" customFormat="false" ht="15" hidden="false" customHeight="false" outlineLevel="0" collapsed="false">
      <c r="A89" s="0" t="s">
        <v>282</v>
      </c>
      <c r="B89" s="0" t="s">
        <v>283</v>
      </c>
      <c r="D89" s="46" t="n">
        <v>45658</v>
      </c>
      <c r="E89" s="47" t="s">
        <v>55</v>
      </c>
      <c r="F89" s="48" t="n">
        <v>174553.79</v>
      </c>
      <c r="G89" s="47" t="s">
        <v>57</v>
      </c>
      <c r="H89" s="47" t="s">
        <v>43</v>
      </c>
      <c r="I89" s="47" t="s">
        <v>117</v>
      </c>
      <c r="J89" s="47" t="s">
        <v>28</v>
      </c>
      <c r="K89" s="47" t="s">
        <v>34</v>
      </c>
    </row>
    <row r="90" customFormat="false" ht="15" hidden="false" customHeight="false" outlineLevel="0" collapsed="false">
      <c r="A90" s="0" t="s">
        <v>284</v>
      </c>
      <c r="B90" s="0" t="s">
        <v>172</v>
      </c>
      <c r="D90" s="46" t="n">
        <v>46205</v>
      </c>
      <c r="E90" s="47" t="s">
        <v>62</v>
      </c>
      <c r="F90" s="48" t="n">
        <v>56968.6</v>
      </c>
      <c r="G90" s="47" t="s">
        <v>57</v>
      </c>
      <c r="H90" s="47" t="s">
        <v>47</v>
      </c>
      <c r="I90" s="47" t="s">
        <v>108</v>
      </c>
      <c r="J90" s="47" t="s">
        <v>28</v>
      </c>
      <c r="K90" s="47" t="s">
        <v>33</v>
      </c>
    </row>
    <row r="91" customFormat="false" ht="15" hidden="false" customHeight="false" outlineLevel="0" collapsed="false">
      <c r="A91" s="0" t="s">
        <v>285</v>
      </c>
      <c r="B91" s="0" t="s">
        <v>286</v>
      </c>
      <c r="D91" s="46" t="n">
        <v>46082</v>
      </c>
      <c r="E91" s="47" t="s">
        <v>59</v>
      </c>
      <c r="F91" s="48" t="n">
        <v>195266.71</v>
      </c>
      <c r="G91" s="47" t="s">
        <v>65</v>
      </c>
      <c r="H91" s="47" t="s">
        <v>46</v>
      </c>
      <c r="I91" s="47" t="s">
        <v>121</v>
      </c>
      <c r="J91" s="47" t="s">
        <v>29</v>
      </c>
      <c r="K91" s="47" t="s">
        <v>34</v>
      </c>
    </row>
    <row r="92" customFormat="false" ht="15" hidden="false" customHeight="false" outlineLevel="0" collapsed="false">
      <c r="A92" s="0" t="s">
        <v>287</v>
      </c>
      <c r="B92" s="0" t="s">
        <v>288</v>
      </c>
      <c r="D92" s="46" t="n">
        <v>45665</v>
      </c>
      <c r="E92" s="47" t="s">
        <v>58</v>
      </c>
      <c r="F92" s="48" t="n">
        <v>119682.92</v>
      </c>
      <c r="G92" s="47" t="s">
        <v>57</v>
      </c>
      <c r="H92" s="47" t="s">
        <v>44</v>
      </c>
      <c r="I92" s="47" t="s">
        <v>80</v>
      </c>
      <c r="J92" s="47" t="s">
        <v>28</v>
      </c>
      <c r="K92" s="47" t="s">
        <v>34</v>
      </c>
    </row>
    <row r="93" customFormat="false" ht="15" hidden="false" customHeight="false" outlineLevel="0" collapsed="false">
      <c r="A93" s="0" t="s">
        <v>289</v>
      </c>
      <c r="B93" s="0" t="s">
        <v>183</v>
      </c>
      <c r="D93" s="46" t="n">
        <v>45847</v>
      </c>
      <c r="E93" s="47" t="s">
        <v>58</v>
      </c>
      <c r="F93" s="48" t="n">
        <v>9814.09</v>
      </c>
      <c r="G93" s="47" t="s">
        <v>57</v>
      </c>
      <c r="H93" s="47" t="s">
        <v>42</v>
      </c>
      <c r="I93" s="47" t="s">
        <v>105</v>
      </c>
      <c r="J93" s="47" t="s">
        <v>28</v>
      </c>
      <c r="K93" s="47" t="s">
        <v>33</v>
      </c>
    </row>
    <row r="94" customFormat="false" ht="15" hidden="false" customHeight="false" outlineLevel="0" collapsed="false">
      <c r="A94" s="0" t="s">
        <v>290</v>
      </c>
      <c r="B94" s="0" t="s">
        <v>291</v>
      </c>
      <c r="C94" s="0" t="s">
        <v>292</v>
      </c>
      <c r="D94" s="46" t="n">
        <v>46066</v>
      </c>
      <c r="E94" s="47" t="s">
        <v>53</v>
      </c>
      <c r="F94" s="48" t="n">
        <v>40195.46</v>
      </c>
      <c r="G94" s="47" t="s">
        <v>57</v>
      </c>
      <c r="H94" s="47" t="s">
        <v>41</v>
      </c>
      <c r="I94" s="47" t="s">
        <v>293</v>
      </c>
      <c r="J94" s="47" t="s">
        <v>28</v>
      </c>
      <c r="K94" s="47" t="s">
        <v>34</v>
      </c>
    </row>
    <row r="95" customFormat="false" ht="15" hidden="false" customHeight="false" outlineLevel="0" collapsed="false">
      <c r="A95" s="0" t="s">
        <v>294</v>
      </c>
      <c r="B95" s="0" t="s">
        <v>295</v>
      </c>
      <c r="D95" s="46" t="n">
        <v>45941</v>
      </c>
      <c r="E95" s="47" t="s">
        <v>53</v>
      </c>
      <c r="F95" s="48" t="n">
        <v>133918.63</v>
      </c>
      <c r="G95" s="47" t="s">
        <v>57</v>
      </c>
      <c r="H95" s="47" t="s">
        <v>42</v>
      </c>
      <c r="I95" s="47" t="s">
        <v>137</v>
      </c>
      <c r="J95" s="47" t="s">
        <v>28</v>
      </c>
      <c r="K95" s="47" t="s">
        <v>33</v>
      </c>
    </row>
    <row r="96" customFormat="false" ht="15" hidden="false" customHeight="false" outlineLevel="0" collapsed="false">
      <c r="A96" s="0" t="s">
        <v>296</v>
      </c>
      <c r="B96" s="0" t="s">
        <v>297</v>
      </c>
      <c r="D96" s="46" t="n">
        <v>46226</v>
      </c>
      <c r="E96" s="47" t="s">
        <v>53</v>
      </c>
      <c r="F96" s="48" t="n">
        <v>11865.28</v>
      </c>
      <c r="G96" s="47" t="s">
        <v>66</v>
      </c>
      <c r="H96" s="47" t="s">
        <v>39</v>
      </c>
      <c r="I96" s="47" t="s">
        <v>145</v>
      </c>
      <c r="J96" s="47" t="s">
        <v>28</v>
      </c>
      <c r="K96" s="47" t="s">
        <v>34</v>
      </c>
    </row>
    <row r="97" customFormat="false" ht="15" hidden="false" customHeight="false" outlineLevel="0" collapsed="false">
      <c r="A97" s="0" t="s">
        <v>298</v>
      </c>
      <c r="B97" s="0" t="s">
        <v>299</v>
      </c>
      <c r="D97" s="46" t="n">
        <v>46064</v>
      </c>
      <c r="E97" s="47" t="s">
        <v>62</v>
      </c>
      <c r="F97" s="48" t="n">
        <v>33607.89</v>
      </c>
      <c r="G97" s="47" t="s">
        <v>66</v>
      </c>
      <c r="H97" s="47" t="s">
        <v>48</v>
      </c>
      <c r="I97" s="47" t="s">
        <v>212</v>
      </c>
      <c r="J97" s="47" t="s">
        <v>28</v>
      </c>
      <c r="K97" s="47" t="s">
        <v>34</v>
      </c>
    </row>
    <row r="98" customFormat="false" ht="15" hidden="false" customHeight="false" outlineLevel="0" collapsed="false">
      <c r="A98" s="0" t="s">
        <v>300</v>
      </c>
      <c r="B98" s="0" t="s">
        <v>301</v>
      </c>
      <c r="D98" s="46" t="n">
        <v>45861</v>
      </c>
      <c r="E98" s="47" t="s">
        <v>60</v>
      </c>
      <c r="F98" s="48" t="n">
        <v>122408.79</v>
      </c>
      <c r="G98" s="47" t="s">
        <v>53</v>
      </c>
      <c r="H98" s="47" t="s">
        <v>39</v>
      </c>
      <c r="I98" s="47" t="s">
        <v>177</v>
      </c>
      <c r="J98" s="47" t="s">
        <v>30</v>
      </c>
      <c r="K98" s="47" t="s">
        <v>34</v>
      </c>
    </row>
    <row r="99" customFormat="false" ht="15" hidden="false" customHeight="false" outlineLevel="0" collapsed="false">
      <c r="A99" s="0" t="s">
        <v>302</v>
      </c>
      <c r="B99" s="0" t="s">
        <v>257</v>
      </c>
      <c r="D99" s="46" t="n">
        <v>46154</v>
      </c>
      <c r="E99" s="47" t="s">
        <v>55</v>
      </c>
      <c r="F99" s="48" t="n">
        <v>117107.19</v>
      </c>
      <c r="G99" s="47" t="s">
        <v>68</v>
      </c>
      <c r="H99" s="47" t="s">
        <v>45</v>
      </c>
      <c r="I99" s="47" t="s">
        <v>151</v>
      </c>
      <c r="J99" s="47" t="s">
        <v>28</v>
      </c>
      <c r="K99" s="47" t="s">
        <v>33</v>
      </c>
    </row>
    <row r="100" customFormat="false" ht="15" hidden="false" customHeight="false" outlineLevel="0" collapsed="false">
      <c r="A100" s="0" t="s">
        <v>303</v>
      </c>
      <c r="B100" s="0" t="s">
        <v>304</v>
      </c>
      <c r="D100" s="46" t="n">
        <v>46052</v>
      </c>
      <c r="E100" s="47" t="s">
        <v>53</v>
      </c>
      <c r="F100" s="48" t="n">
        <v>153170.44</v>
      </c>
      <c r="G100" s="47" t="s">
        <v>57</v>
      </c>
      <c r="H100" s="47" t="s">
        <v>39</v>
      </c>
      <c r="I100" s="47" t="s">
        <v>177</v>
      </c>
      <c r="J100" s="47" t="s">
        <v>30</v>
      </c>
      <c r="K100" s="47" t="s">
        <v>33</v>
      </c>
    </row>
    <row r="101" customFormat="false" ht="15" hidden="false" customHeight="false" outlineLevel="0" collapsed="false">
      <c r="A101" s="0" t="s">
        <v>305</v>
      </c>
      <c r="B101" s="0" t="s">
        <v>221</v>
      </c>
      <c r="D101" s="46" t="n">
        <v>46051</v>
      </c>
      <c r="E101" s="47" t="s">
        <v>59</v>
      </c>
      <c r="F101" s="48" t="n">
        <v>31334.86</v>
      </c>
      <c r="G101" s="47" t="s">
        <v>53</v>
      </c>
      <c r="H101" s="47" t="s">
        <v>44</v>
      </c>
      <c r="I101" s="47" t="s">
        <v>80</v>
      </c>
      <c r="J101" s="47" t="s">
        <v>28</v>
      </c>
      <c r="K101" s="47" t="s">
        <v>33</v>
      </c>
    </row>
    <row r="102" customFormat="false" ht="15" hidden="false" customHeight="false" outlineLevel="0" collapsed="false">
      <c r="A102" s="0" t="s">
        <v>306</v>
      </c>
      <c r="B102" s="0" t="s">
        <v>307</v>
      </c>
      <c r="C102" s="0" t="s">
        <v>308</v>
      </c>
      <c r="D102" s="46" t="n">
        <v>45939</v>
      </c>
      <c r="E102" s="47" t="s">
        <v>62</v>
      </c>
      <c r="F102" s="48" t="n">
        <v>29170.16</v>
      </c>
      <c r="G102" s="47" t="s">
        <v>66</v>
      </c>
      <c r="H102" s="47" t="s">
        <v>40</v>
      </c>
      <c r="I102" s="47" t="s">
        <v>89</v>
      </c>
      <c r="J102" s="47" t="s">
        <v>28</v>
      </c>
      <c r="K102" s="47" t="s">
        <v>33</v>
      </c>
    </row>
    <row r="103" customFormat="false" ht="15" hidden="false" customHeight="false" outlineLevel="0" collapsed="false">
      <c r="A103" s="0" t="s">
        <v>309</v>
      </c>
      <c r="B103" s="0" t="s">
        <v>310</v>
      </c>
      <c r="D103" s="46" t="n">
        <v>45822</v>
      </c>
      <c r="E103" s="47" t="s">
        <v>55</v>
      </c>
      <c r="F103" s="48" t="n">
        <v>182945.17</v>
      </c>
      <c r="G103" s="47" t="s">
        <v>65</v>
      </c>
      <c r="H103" s="47" t="s">
        <v>39</v>
      </c>
      <c r="I103" s="47" t="s">
        <v>98</v>
      </c>
      <c r="J103" s="47" t="s">
        <v>28</v>
      </c>
      <c r="K103" s="47" t="s">
        <v>33</v>
      </c>
    </row>
    <row r="104" customFormat="false" ht="15" hidden="false" customHeight="false" outlineLevel="0" collapsed="false">
      <c r="A104" s="0" t="s">
        <v>311</v>
      </c>
      <c r="B104" s="0" t="s">
        <v>312</v>
      </c>
      <c r="C104" s="0" t="s">
        <v>313</v>
      </c>
      <c r="D104" s="46" t="n">
        <v>46213</v>
      </c>
      <c r="E104" s="47" t="s">
        <v>58</v>
      </c>
      <c r="F104" s="48" t="n">
        <v>72253.87</v>
      </c>
      <c r="G104" s="47" t="s">
        <v>66</v>
      </c>
      <c r="H104" s="47" t="s">
        <v>48</v>
      </c>
      <c r="I104" s="47" t="s">
        <v>114</v>
      </c>
      <c r="J104" s="47" t="s">
        <v>29</v>
      </c>
      <c r="K104" s="47" t="s">
        <v>34</v>
      </c>
    </row>
    <row r="105" customFormat="false" ht="15" hidden="false" customHeight="false" outlineLevel="0" collapsed="false">
      <c r="A105" s="0" t="s">
        <v>314</v>
      </c>
      <c r="B105" s="0" t="s">
        <v>315</v>
      </c>
      <c r="D105" s="46" t="n">
        <v>46106</v>
      </c>
      <c r="E105" s="47" t="s">
        <v>62</v>
      </c>
      <c r="F105" s="48" t="n">
        <v>87646.89</v>
      </c>
      <c r="G105" s="47" t="s">
        <v>65</v>
      </c>
      <c r="H105" s="47" t="s">
        <v>41</v>
      </c>
      <c r="I105" s="47" t="s">
        <v>86</v>
      </c>
      <c r="J105" s="47" t="s">
        <v>28</v>
      </c>
      <c r="K105" s="47" t="s">
        <v>34</v>
      </c>
    </row>
    <row r="106" customFormat="false" ht="15" hidden="false" customHeight="false" outlineLevel="0" collapsed="false">
      <c r="A106" s="0" t="s">
        <v>316</v>
      </c>
      <c r="B106" s="0" t="s">
        <v>317</v>
      </c>
      <c r="C106" s="0" t="s">
        <v>318</v>
      </c>
      <c r="D106" s="46" t="n">
        <v>46050</v>
      </c>
      <c r="E106" s="47" t="s">
        <v>60</v>
      </c>
      <c r="F106" s="48" t="n">
        <v>106386.4</v>
      </c>
      <c r="G106" s="47" t="s">
        <v>53</v>
      </c>
      <c r="H106" s="47" t="s">
        <v>40</v>
      </c>
      <c r="I106" s="47" t="s">
        <v>89</v>
      </c>
      <c r="J106" s="47" t="s">
        <v>28</v>
      </c>
      <c r="K106" s="47" t="s">
        <v>34</v>
      </c>
    </row>
    <row r="107" customFormat="false" ht="15" hidden="false" customHeight="false" outlineLevel="0" collapsed="false">
      <c r="A107" s="0" t="s">
        <v>319</v>
      </c>
      <c r="B107" s="0" t="s">
        <v>214</v>
      </c>
      <c r="C107" s="0" t="s">
        <v>320</v>
      </c>
      <c r="D107" s="46" t="n">
        <v>45820</v>
      </c>
      <c r="E107" s="47" t="s">
        <v>62</v>
      </c>
      <c r="F107" s="48" t="n">
        <v>94402.15</v>
      </c>
      <c r="G107" s="47" t="s">
        <v>57</v>
      </c>
      <c r="H107" s="47" t="s">
        <v>40</v>
      </c>
      <c r="I107" s="47" t="s">
        <v>89</v>
      </c>
      <c r="J107" s="47" t="s">
        <v>28</v>
      </c>
      <c r="K107" s="47" t="s">
        <v>33</v>
      </c>
    </row>
    <row r="108" customFormat="false" ht="15" hidden="false" customHeight="false" outlineLevel="0" collapsed="false">
      <c r="A108" s="0" t="s">
        <v>321</v>
      </c>
      <c r="B108" s="0" t="s">
        <v>322</v>
      </c>
      <c r="D108" s="46" t="n">
        <v>45706</v>
      </c>
      <c r="E108" s="47" t="s">
        <v>61</v>
      </c>
      <c r="F108" s="48" t="n">
        <v>70463.25</v>
      </c>
      <c r="G108" s="47" t="s">
        <v>65</v>
      </c>
      <c r="H108" s="47" t="s">
        <v>39</v>
      </c>
      <c r="I108" s="47" t="s">
        <v>98</v>
      </c>
      <c r="J108" s="47" t="s">
        <v>28</v>
      </c>
      <c r="K108" s="47" t="s">
        <v>34</v>
      </c>
    </row>
    <row r="109" customFormat="false" ht="15" hidden="false" customHeight="false" outlineLevel="0" collapsed="false">
      <c r="A109" s="0" t="s">
        <v>323</v>
      </c>
      <c r="B109" s="0" t="s">
        <v>324</v>
      </c>
      <c r="D109" s="46" t="n">
        <v>46182</v>
      </c>
      <c r="E109" s="47" t="s">
        <v>55</v>
      </c>
      <c r="F109" s="48" t="n">
        <v>134476.5</v>
      </c>
      <c r="G109" s="47" t="s">
        <v>65</v>
      </c>
      <c r="H109" s="47" t="s">
        <v>44</v>
      </c>
      <c r="I109" s="47" t="s">
        <v>226</v>
      </c>
      <c r="J109" s="47" t="s">
        <v>28</v>
      </c>
      <c r="K109" s="47" t="s">
        <v>33</v>
      </c>
    </row>
    <row r="110" customFormat="false" ht="15" hidden="false" customHeight="false" outlineLevel="0" collapsed="false">
      <c r="A110" s="0" t="s">
        <v>325</v>
      </c>
      <c r="B110" s="0" t="s">
        <v>326</v>
      </c>
      <c r="D110" s="46" t="n">
        <v>46214</v>
      </c>
      <c r="E110" s="47" t="s">
        <v>61</v>
      </c>
      <c r="F110" s="48" t="n">
        <v>191235.9</v>
      </c>
      <c r="G110" s="47" t="s">
        <v>53</v>
      </c>
      <c r="H110" s="47" t="s">
        <v>42</v>
      </c>
      <c r="I110" s="47" t="s">
        <v>137</v>
      </c>
      <c r="J110" s="47" t="s">
        <v>30</v>
      </c>
      <c r="K110" s="47" t="s">
        <v>34</v>
      </c>
    </row>
    <row r="111" customFormat="false" ht="15" hidden="false" customHeight="false" outlineLevel="0" collapsed="false">
      <c r="A111" s="0" t="s">
        <v>327</v>
      </c>
      <c r="B111" s="0" t="s">
        <v>328</v>
      </c>
      <c r="D111" s="46" t="n">
        <v>45737</v>
      </c>
      <c r="E111" s="47" t="s">
        <v>59</v>
      </c>
      <c r="F111" s="48" t="n">
        <v>146030.05</v>
      </c>
      <c r="G111" s="47" t="s">
        <v>65</v>
      </c>
      <c r="H111" s="47" t="s">
        <v>39</v>
      </c>
      <c r="I111" s="47" t="s">
        <v>98</v>
      </c>
      <c r="J111" s="47" t="s">
        <v>28</v>
      </c>
      <c r="K111" s="47" t="s">
        <v>34</v>
      </c>
    </row>
    <row r="112" customFormat="false" ht="15" hidden="false" customHeight="false" outlineLevel="0" collapsed="false">
      <c r="A112" s="0" t="s">
        <v>329</v>
      </c>
      <c r="B112" s="0" t="s">
        <v>330</v>
      </c>
      <c r="C112" s="0" t="s">
        <v>331</v>
      </c>
      <c r="D112" s="46" t="n">
        <v>46023</v>
      </c>
      <c r="E112" s="47" t="s">
        <v>60</v>
      </c>
      <c r="F112" s="48" t="n">
        <v>70411.52</v>
      </c>
      <c r="G112" s="47" t="s">
        <v>57</v>
      </c>
      <c r="H112" s="47" t="s">
        <v>43</v>
      </c>
      <c r="I112" s="47" t="s">
        <v>201</v>
      </c>
      <c r="J112" s="47" t="s">
        <v>28</v>
      </c>
      <c r="K112" s="47" t="s">
        <v>33</v>
      </c>
    </row>
    <row r="113" customFormat="false" ht="15" hidden="false" customHeight="false" outlineLevel="0" collapsed="false">
      <c r="A113" s="0" t="s">
        <v>332</v>
      </c>
      <c r="B113" s="0" t="s">
        <v>333</v>
      </c>
      <c r="D113" s="46" t="n">
        <v>45881</v>
      </c>
      <c r="E113" s="47" t="s">
        <v>58</v>
      </c>
      <c r="F113" s="48" t="n">
        <v>34147.8</v>
      </c>
      <c r="G113" s="47" t="s">
        <v>66</v>
      </c>
      <c r="H113" s="47" t="s">
        <v>43</v>
      </c>
      <c r="I113" s="47" t="s">
        <v>201</v>
      </c>
      <c r="J113" s="47" t="s">
        <v>29</v>
      </c>
      <c r="K113" s="47" t="s">
        <v>33</v>
      </c>
    </row>
    <row r="114" customFormat="false" ht="15" hidden="false" customHeight="false" outlineLevel="0" collapsed="false">
      <c r="A114" s="0" t="s">
        <v>334</v>
      </c>
      <c r="B114" s="0" t="s">
        <v>335</v>
      </c>
      <c r="D114" s="46" t="n">
        <v>45879</v>
      </c>
      <c r="E114" s="47" t="s">
        <v>55</v>
      </c>
      <c r="F114" s="48" t="n">
        <v>113977.85</v>
      </c>
      <c r="G114" s="47" t="s">
        <v>53</v>
      </c>
      <c r="H114" s="47" t="s">
        <v>39</v>
      </c>
      <c r="I114" s="47" t="s">
        <v>177</v>
      </c>
      <c r="J114" s="47" t="s">
        <v>28</v>
      </c>
      <c r="K114" s="47" t="s">
        <v>33</v>
      </c>
    </row>
    <row r="115" customFormat="false" ht="15" hidden="false" customHeight="false" outlineLevel="0" collapsed="false">
      <c r="A115" s="0" t="s">
        <v>336</v>
      </c>
      <c r="B115" s="0" t="s">
        <v>337</v>
      </c>
      <c r="D115" s="46" t="n">
        <v>45925</v>
      </c>
      <c r="E115" s="47" t="s">
        <v>55</v>
      </c>
      <c r="F115" s="48" t="n">
        <v>119775.94</v>
      </c>
      <c r="G115" s="47" t="s">
        <v>66</v>
      </c>
      <c r="H115" s="47" t="s">
        <v>39</v>
      </c>
      <c r="I115" s="47" t="s">
        <v>145</v>
      </c>
      <c r="J115" s="47" t="s">
        <v>28</v>
      </c>
      <c r="K115" s="47" t="s">
        <v>34</v>
      </c>
    </row>
    <row r="116" customFormat="false" ht="15" hidden="false" customHeight="false" outlineLevel="0" collapsed="false">
      <c r="A116" s="0" t="s">
        <v>338</v>
      </c>
      <c r="B116" s="0" t="s">
        <v>339</v>
      </c>
      <c r="C116" s="0" t="s">
        <v>340</v>
      </c>
      <c r="D116" s="46" t="n">
        <v>46048</v>
      </c>
      <c r="E116" s="47" t="s">
        <v>60</v>
      </c>
      <c r="F116" s="48" t="n">
        <v>1587.54</v>
      </c>
      <c r="G116" s="47" t="s">
        <v>57</v>
      </c>
      <c r="H116" s="47" t="s">
        <v>47</v>
      </c>
      <c r="I116" s="47" t="s">
        <v>108</v>
      </c>
      <c r="J116" s="47" t="s">
        <v>28</v>
      </c>
      <c r="K116" s="47" t="s">
        <v>34</v>
      </c>
    </row>
    <row r="117" customFormat="false" ht="15" hidden="false" customHeight="false" outlineLevel="0" collapsed="false">
      <c r="A117" s="0" t="s">
        <v>341</v>
      </c>
      <c r="B117" s="0" t="s">
        <v>342</v>
      </c>
      <c r="D117" s="46" t="n">
        <v>46112</v>
      </c>
      <c r="E117" s="47" t="s">
        <v>58</v>
      </c>
      <c r="F117" s="48" t="n">
        <v>139125.89</v>
      </c>
      <c r="G117" s="47" t="s">
        <v>57</v>
      </c>
      <c r="H117" s="47" t="s">
        <v>46</v>
      </c>
      <c r="I117" s="47" t="s">
        <v>148</v>
      </c>
      <c r="J117" s="47" t="s">
        <v>28</v>
      </c>
      <c r="K117" s="47" t="s">
        <v>34</v>
      </c>
    </row>
    <row r="118" customFormat="false" ht="15" hidden="false" customHeight="false" outlineLevel="0" collapsed="false">
      <c r="A118" s="0" t="s">
        <v>343</v>
      </c>
      <c r="B118" s="0" t="s">
        <v>344</v>
      </c>
      <c r="D118" s="46" t="n">
        <v>45830</v>
      </c>
      <c r="E118" s="47" t="s">
        <v>60</v>
      </c>
      <c r="F118" s="48" t="n">
        <v>163372.25</v>
      </c>
      <c r="G118" s="47" t="s">
        <v>66</v>
      </c>
      <c r="H118" s="47" t="s">
        <v>43</v>
      </c>
      <c r="I118" s="47" t="s">
        <v>117</v>
      </c>
      <c r="J118" s="47" t="s">
        <v>28</v>
      </c>
      <c r="K118" s="47" t="s">
        <v>34</v>
      </c>
    </row>
    <row r="119" customFormat="false" ht="15" hidden="false" customHeight="false" outlineLevel="0" collapsed="false">
      <c r="A119" s="0" t="s">
        <v>345</v>
      </c>
      <c r="B119" s="0" t="s">
        <v>346</v>
      </c>
      <c r="D119" s="46" t="n">
        <v>46198</v>
      </c>
      <c r="E119" s="47" t="s">
        <v>53</v>
      </c>
      <c r="F119" s="48" t="n">
        <v>8742.39</v>
      </c>
      <c r="G119" s="47" t="s">
        <v>65</v>
      </c>
      <c r="H119" s="47" t="s">
        <v>41</v>
      </c>
      <c r="I119" s="47" t="s">
        <v>86</v>
      </c>
      <c r="J119" s="47" t="s">
        <v>28</v>
      </c>
      <c r="K119" s="47" t="s">
        <v>33</v>
      </c>
    </row>
    <row r="120" customFormat="false" ht="15" hidden="false" customHeight="false" outlineLevel="0" collapsed="false">
      <c r="A120" s="0" t="s">
        <v>347</v>
      </c>
      <c r="B120" s="0" t="s">
        <v>348</v>
      </c>
      <c r="D120" s="46" t="n">
        <v>46046</v>
      </c>
      <c r="E120" s="47" t="s">
        <v>60</v>
      </c>
      <c r="F120" s="48" t="n">
        <v>172073.3</v>
      </c>
      <c r="G120" s="47" t="s">
        <v>57</v>
      </c>
      <c r="H120" s="47" t="s">
        <v>46</v>
      </c>
      <c r="I120" s="47" t="s">
        <v>148</v>
      </c>
      <c r="J120" s="47" t="s">
        <v>28</v>
      </c>
      <c r="K120" s="47" t="s">
        <v>34</v>
      </c>
    </row>
    <row r="121" customFormat="false" ht="15" hidden="false" customHeight="false" outlineLevel="0" collapsed="false">
      <c r="A121" s="0" t="s">
        <v>349</v>
      </c>
      <c r="B121" s="0" t="s">
        <v>350</v>
      </c>
      <c r="D121" s="46" t="n">
        <v>45682</v>
      </c>
      <c r="E121" s="47" t="s">
        <v>58</v>
      </c>
      <c r="F121" s="48" t="n">
        <v>78369.65</v>
      </c>
      <c r="G121" s="47" t="s">
        <v>53</v>
      </c>
      <c r="H121" s="47" t="s">
        <v>44</v>
      </c>
      <c r="I121" s="47" t="s">
        <v>80</v>
      </c>
      <c r="J121" s="47" t="s">
        <v>28</v>
      </c>
      <c r="K121" s="47" t="s">
        <v>33</v>
      </c>
    </row>
    <row r="122" customFormat="false" ht="15" hidden="false" customHeight="false" outlineLevel="0" collapsed="false">
      <c r="A122" s="0" t="s">
        <v>351</v>
      </c>
      <c r="B122" s="0" t="s">
        <v>352</v>
      </c>
      <c r="D122" s="46" t="n">
        <v>46241</v>
      </c>
      <c r="E122" s="47" t="s">
        <v>59</v>
      </c>
      <c r="F122" s="48" t="n">
        <v>188197.26</v>
      </c>
      <c r="G122" s="47" t="s">
        <v>65</v>
      </c>
      <c r="H122" s="47" t="s">
        <v>45</v>
      </c>
      <c r="I122" s="47" t="s">
        <v>217</v>
      </c>
      <c r="J122" s="47" t="s">
        <v>28</v>
      </c>
      <c r="K122" s="47" t="s">
        <v>34</v>
      </c>
    </row>
    <row r="123" customFormat="false" ht="15" hidden="false" customHeight="false" outlineLevel="0" collapsed="false">
      <c r="A123" s="0" t="s">
        <v>353</v>
      </c>
      <c r="B123" s="0" t="s">
        <v>354</v>
      </c>
      <c r="D123" s="46" t="n">
        <v>46066</v>
      </c>
      <c r="E123" s="47" t="s">
        <v>61</v>
      </c>
      <c r="F123" s="48" t="n">
        <v>159184.97</v>
      </c>
      <c r="G123" s="47" t="s">
        <v>65</v>
      </c>
      <c r="H123" s="47" t="s">
        <v>40</v>
      </c>
      <c r="I123" s="47" t="s">
        <v>89</v>
      </c>
      <c r="J123" s="47" t="s">
        <v>28</v>
      </c>
      <c r="K123" s="47" t="s">
        <v>34</v>
      </c>
    </row>
    <row r="124" customFormat="false" ht="15" hidden="false" customHeight="false" outlineLevel="0" collapsed="false">
      <c r="A124" s="0" t="s">
        <v>355</v>
      </c>
      <c r="B124" s="0" t="s">
        <v>356</v>
      </c>
      <c r="D124" s="46" t="n">
        <v>45988</v>
      </c>
      <c r="E124" s="47" t="s">
        <v>62</v>
      </c>
      <c r="F124" s="48" t="n">
        <v>149216.3</v>
      </c>
      <c r="G124" s="47" t="s">
        <v>68</v>
      </c>
      <c r="H124" s="47" t="s">
        <v>48</v>
      </c>
      <c r="I124" s="47" t="s">
        <v>212</v>
      </c>
      <c r="J124" s="47" t="s">
        <v>28</v>
      </c>
      <c r="K124" s="47" t="s">
        <v>33</v>
      </c>
    </row>
    <row r="125" customFormat="false" ht="15" hidden="false" customHeight="false" outlineLevel="0" collapsed="false">
      <c r="A125" s="0" t="s">
        <v>357</v>
      </c>
      <c r="B125" s="0" t="s">
        <v>358</v>
      </c>
      <c r="D125" s="46" t="n">
        <v>45839</v>
      </c>
      <c r="E125" s="47" t="s">
        <v>59</v>
      </c>
      <c r="F125" s="48" t="n">
        <v>55969.46</v>
      </c>
      <c r="G125" s="47" t="s">
        <v>53</v>
      </c>
      <c r="H125" s="47" t="s">
        <v>47</v>
      </c>
      <c r="I125" s="47" t="s">
        <v>166</v>
      </c>
      <c r="J125" s="47" t="s">
        <v>28</v>
      </c>
      <c r="K125" s="47" t="s">
        <v>33</v>
      </c>
    </row>
    <row r="126" customFormat="false" ht="15" hidden="false" customHeight="false" outlineLevel="0" collapsed="false">
      <c r="A126" s="0" t="s">
        <v>359</v>
      </c>
      <c r="B126" s="0" t="s">
        <v>360</v>
      </c>
      <c r="D126" s="46" t="n">
        <v>46068</v>
      </c>
      <c r="E126" s="47" t="s">
        <v>61</v>
      </c>
      <c r="F126" s="48" t="n">
        <v>160547.04</v>
      </c>
      <c r="G126" s="47" t="s">
        <v>65</v>
      </c>
      <c r="H126" s="47" t="s">
        <v>44</v>
      </c>
      <c r="I126" s="47" t="s">
        <v>132</v>
      </c>
      <c r="J126" s="47" t="s">
        <v>28</v>
      </c>
      <c r="K126" s="47" t="s">
        <v>34</v>
      </c>
    </row>
    <row r="127" customFormat="false" ht="15" hidden="false" customHeight="false" outlineLevel="0" collapsed="false">
      <c r="A127" s="0" t="s">
        <v>361</v>
      </c>
      <c r="B127" s="0" t="s">
        <v>362</v>
      </c>
      <c r="C127" s="0" t="s">
        <v>363</v>
      </c>
      <c r="D127" s="46" t="n">
        <v>45850</v>
      </c>
      <c r="E127" s="47" t="s">
        <v>58</v>
      </c>
      <c r="F127" s="48" t="n">
        <v>10276.29</v>
      </c>
      <c r="G127" s="47" t="s">
        <v>57</v>
      </c>
      <c r="H127" s="47" t="s">
        <v>41</v>
      </c>
      <c r="I127" s="47" t="s">
        <v>293</v>
      </c>
      <c r="J127" s="47" t="s">
        <v>28</v>
      </c>
      <c r="K127" s="47" t="s">
        <v>34</v>
      </c>
    </row>
    <row r="128" customFormat="false" ht="15" hidden="false" customHeight="false" outlineLevel="0" collapsed="false">
      <c r="A128" s="0" t="s">
        <v>364</v>
      </c>
      <c r="B128" s="0" t="s">
        <v>134</v>
      </c>
      <c r="D128" s="46" t="n">
        <v>46229</v>
      </c>
      <c r="E128" s="47" t="s">
        <v>59</v>
      </c>
      <c r="F128" s="48" t="n">
        <v>53422.15</v>
      </c>
      <c r="G128" s="47" t="s">
        <v>68</v>
      </c>
      <c r="H128" s="47" t="s">
        <v>48</v>
      </c>
      <c r="I128" s="47" t="s">
        <v>114</v>
      </c>
      <c r="J128" s="47" t="s">
        <v>28</v>
      </c>
      <c r="K128" s="47" t="s">
        <v>34</v>
      </c>
    </row>
    <row r="129" customFormat="false" ht="15" hidden="false" customHeight="false" outlineLevel="0" collapsed="false">
      <c r="A129" s="0" t="s">
        <v>365</v>
      </c>
      <c r="B129" s="0" t="s">
        <v>366</v>
      </c>
      <c r="C129" s="0" t="s">
        <v>367</v>
      </c>
      <c r="D129" s="46" t="n">
        <v>45761</v>
      </c>
      <c r="E129" s="47" t="s">
        <v>58</v>
      </c>
      <c r="F129" s="48" t="n">
        <v>147262.49</v>
      </c>
      <c r="G129" s="47" t="s">
        <v>57</v>
      </c>
      <c r="H129" s="47" t="s">
        <v>48</v>
      </c>
      <c r="I129" s="47" t="s">
        <v>114</v>
      </c>
      <c r="J129" s="47" t="s">
        <v>30</v>
      </c>
      <c r="K129" s="47" t="s">
        <v>33</v>
      </c>
    </row>
    <row r="130" customFormat="false" ht="15" hidden="false" customHeight="false" outlineLevel="0" collapsed="false">
      <c r="A130" s="0" t="s">
        <v>368</v>
      </c>
      <c r="B130" s="0" t="s">
        <v>369</v>
      </c>
      <c r="D130" s="46" t="n">
        <v>45938</v>
      </c>
      <c r="E130" s="47" t="s">
        <v>60</v>
      </c>
      <c r="F130" s="48" t="n">
        <v>198452.98</v>
      </c>
      <c r="G130" s="47" t="s">
        <v>53</v>
      </c>
      <c r="H130" s="47" t="s">
        <v>46</v>
      </c>
      <c r="I130" s="47" t="s">
        <v>121</v>
      </c>
      <c r="J130" s="47" t="s">
        <v>28</v>
      </c>
      <c r="K130" s="47" t="s">
        <v>33</v>
      </c>
    </row>
    <row r="131" customFormat="false" ht="15" hidden="false" customHeight="false" outlineLevel="0" collapsed="false">
      <c r="A131" s="0" t="s">
        <v>370</v>
      </c>
      <c r="B131" s="0" t="s">
        <v>371</v>
      </c>
      <c r="D131" s="46" t="n">
        <v>45682</v>
      </c>
      <c r="E131" s="47" t="s">
        <v>60</v>
      </c>
      <c r="F131" s="48" t="n">
        <v>185465.23</v>
      </c>
      <c r="G131" s="47" t="s">
        <v>68</v>
      </c>
      <c r="H131" s="47" t="s">
        <v>46</v>
      </c>
      <c r="I131" s="47" t="s">
        <v>148</v>
      </c>
      <c r="J131" s="47" t="s">
        <v>28</v>
      </c>
      <c r="K131" s="47" t="s">
        <v>34</v>
      </c>
    </row>
    <row r="132" customFormat="false" ht="15" hidden="false" customHeight="false" outlineLevel="0" collapsed="false">
      <c r="A132" s="0" t="s">
        <v>372</v>
      </c>
      <c r="B132" s="0" t="s">
        <v>373</v>
      </c>
      <c r="D132" s="46" t="n">
        <v>45680</v>
      </c>
      <c r="E132" s="47" t="s">
        <v>61</v>
      </c>
      <c r="F132" s="48" t="n">
        <v>177718.59</v>
      </c>
      <c r="G132" s="47" t="s">
        <v>66</v>
      </c>
      <c r="H132" s="47" t="s">
        <v>43</v>
      </c>
      <c r="I132" s="47" t="s">
        <v>102</v>
      </c>
      <c r="J132" s="47" t="s">
        <v>28</v>
      </c>
      <c r="K132" s="47" t="s">
        <v>33</v>
      </c>
    </row>
    <row r="133" customFormat="false" ht="15" hidden="false" customHeight="false" outlineLevel="0" collapsed="false">
      <c r="A133" s="0" t="s">
        <v>374</v>
      </c>
      <c r="B133" s="0" t="s">
        <v>131</v>
      </c>
      <c r="D133" s="46" t="n">
        <v>45767</v>
      </c>
      <c r="E133" s="47" t="s">
        <v>53</v>
      </c>
      <c r="F133" s="48" t="n">
        <v>137253.11</v>
      </c>
      <c r="G133" s="47" t="s">
        <v>66</v>
      </c>
      <c r="H133" s="47" t="s">
        <v>44</v>
      </c>
      <c r="I133" s="47" t="s">
        <v>132</v>
      </c>
      <c r="J133" s="47" t="s">
        <v>28</v>
      </c>
      <c r="K133" s="47" t="s">
        <v>33</v>
      </c>
    </row>
    <row r="134" customFormat="false" ht="15" hidden="false" customHeight="false" outlineLevel="0" collapsed="false">
      <c r="A134" s="0" t="s">
        <v>375</v>
      </c>
      <c r="B134" s="0" t="s">
        <v>376</v>
      </c>
      <c r="D134" s="46" t="n">
        <v>45682</v>
      </c>
      <c r="E134" s="47" t="s">
        <v>61</v>
      </c>
      <c r="F134" s="48" t="n">
        <v>124412.25</v>
      </c>
      <c r="G134" s="47" t="s">
        <v>65</v>
      </c>
      <c r="H134" s="47" t="s">
        <v>44</v>
      </c>
      <c r="I134" s="47" t="s">
        <v>80</v>
      </c>
      <c r="J134" s="47" t="s">
        <v>28</v>
      </c>
      <c r="K134" s="47" t="s">
        <v>34</v>
      </c>
    </row>
    <row r="135" customFormat="false" ht="15" hidden="false" customHeight="false" outlineLevel="0" collapsed="false">
      <c r="A135" s="0" t="s">
        <v>377</v>
      </c>
      <c r="B135" s="0" t="s">
        <v>378</v>
      </c>
      <c r="D135" s="46" t="n">
        <v>45993</v>
      </c>
      <c r="E135" s="47" t="s">
        <v>59</v>
      </c>
      <c r="F135" s="48" t="n">
        <v>183318.62</v>
      </c>
      <c r="G135" s="47" t="s">
        <v>65</v>
      </c>
      <c r="H135" s="47" t="s">
        <v>41</v>
      </c>
      <c r="I135" s="47" t="s">
        <v>272</v>
      </c>
      <c r="J135" s="47" t="s">
        <v>28</v>
      </c>
      <c r="K135" s="47" t="s">
        <v>33</v>
      </c>
    </row>
    <row r="136" customFormat="false" ht="15" hidden="false" customHeight="false" outlineLevel="0" collapsed="false">
      <c r="A136" s="0" t="s">
        <v>379</v>
      </c>
      <c r="B136" s="0" t="s">
        <v>380</v>
      </c>
      <c r="D136" s="46" t="n">
        <v>45971</v>
      </c>
      <c r="E136" s="47" t="s">
        <v>55</v>
      </c>
      <c r="F136" s="48" t="n">
        <v>15230.88</v>
      </c>
      <c r="G136" s="47" t="s">
        <v>65</v>
      </c>
      <c r="H136" s="47" t="s">
        <v>47</v>
      </c>
      <c r="I136" s="47" t="s">
        <v>245</v>
      </c>
      <c r="J136" s="47" t="s">
        <v>28</v>
      </c>
      <c r="K136" s="47" t="s">
        <v>34</v>
      </c>
    </row>
    <row r="137" customFormat="false" ht="15" hidden="false" customHeight="false" outlineLevel="0" collapsed="false">
      <c r="A137" s="0" t="s">
        <v>381</v>
      </c>
      <c r="B137" s="0" t="s">
        <v>382</v>
      </c>
      <c r="D137" s="46" t="n">
        <v>46102</v>
      </c>
      <c r="E137" s="47" t="s">
        <v>59</v>
      </c>
      <c r="F137" s="48" t="n">
        <v>109341.11</v>
      </c>
      <c r="G137" s="47" t="s">
        <v>66</v>
      </c>
      <c r="H137" s="47" t="s">
        <v>43</v>
      </c>
      <c r="I137" s="47" t="s">
        <v>201</v>
      </c>
      <c r="J137" s="47" t="s">
        <v>28</v>
      </c>
      <c r="K137" s="47" t="s">
        <v>33</v>
      </c>
    </row>
    <row r="138" customFormat="false" ht="15" hidden="false" customHeight="false" outlineLevel="0" collapsed="false">
      <c r="A138" s="0" t="s">
        <v>383</v>
      </c>
      <c r="B138" s="0" t="s">
        <v>384</v>
      </c>
      <c r="D138" s="46" t="n">
        <v>46188</v>
      </c>
      <c r="E138" s="47" t="s">
        <v>53</v>
      </c>
      <c r="F138" s="48" t="n">
        <v>180121.45</v>
      </c>
      <c r="G138" s="47" t="s">
        <v>53</v>
      </c>
      <c r="H138" s="47" t="s">
        <v>47</v>
      </c>
      <c r="I138" s="47" t="s">
        <v>245</v>
      </c>
      <c r="J138" s="47" t="s">
        <v>29</v>
      </c>
      <c r="K138" s="47" t="s">
        <v>34</v>
      </c>
    </row>
    <row r="139" customFormat="false" ht="15" hidden="false" customHeight="false" outlineLevel="0" collapsed="false">
      <c r="A139" s="0" t="s">
        <v>385</v>
      </c>
      <c r="B139" s="0" t="s">
        <v>386</v>
      </c>
      <c r="D139" s="46" t="n">
        <v>46290</v>
      </c>
      <c r="E139" s="47" t="s">
        <v>58</v>
      </c>
      <c r="F139" s="48" t="n">
        <v>12969.7</v>
      </c>
      <c r="G139" s="47" t="s">
        <v>65</v>
      </c>
      <c r="H139" s="47" t="s">
        <v>39</v>
      </c>
      <c r="I139" s="47" t="s">
        <v>98</v>
      </c>
      <c r="J139" s="47" t="s">
        <v>28</v>
      </c>
      <c r="K139" s="47" t="s">
        <v>33</v>
      </c>
    </row>
    <row r="140" customFormat="false" ht="15" hidden="false" customHeight="false" outlineLevel="0" collapsed="false">
      <c r="A140" s="0" t="s">
        <v>387</v>
      </c>
      <c r="B140" s="0" t="s">
        <v>388</v>
      </c>
      <c r="D140" s="46" t="n">
        <v>46199</v>
      </c>
      <c r="E140" s="47" t="s">
        <v>59</v>
      </c>
      <c r="F140" s="48" t="n">
        <v>83134.8</v>
      </c>
      <c r="G140" s="47" t="s">
        <v>66</v>
      </c>
      <c r="H140" s="47" t="s">
        <v>41</v>
      </c>
      <c r="I140" s="47" t="s">
        <v>272</v>
      </c>
      <c r="J140" s="47" t="s">
        <v>28</v>
      </c>
      <c r="K140" s="47" t="s">
        <v>33</v>
      </c>
    </row>
    <row r="141" customFormat="false" ht="15" hidden="false" customHeight="false" outlineLevel="0" collapsed="false">
      <c r="A141" s="0" t="s">
        <v>389</v>
      </c>
      <c r="B141" s="0" t="s">
        <v>390</v>
      </c>
      <c r="D141" s="46" t="n">
        <v>45660</v>
      </c>
      <c r="E141" s="47" t="s">
        <v>62</v>
      </c>
      <c r="F141" s="48" t="n">
        <v>183537.03</v>
      </c>
      <c r="G141" s="47" t="s">
        <v>53</v>
      </c>
      <c r="H141" s="47" t="s">
        <v>44</v>
      </c>
      <c r="I141" s="47" t="s">
        <v>132</v>
      </c>
      <c r="J141" s="47" t="s">
        <v>28</v>
      </c>
      <c r="K141" s="47" t="s">
        <v>33</v>
      </c>
    </row>
    <row r="142" customFormat="false" ht="15" hidden="false" customHeight="false" outlineLevel="0" collapsed="false">
      <c r="A142" s="0" t="s">
        <v>391</v>
      </c>
      <c r="B142" s="0" t="s">
        <v>392</v>
      </c>
      <c r="C142" s="0" t="s">
        <v>393</v>
      </c>
      <c r="D142" s="46" t="n">
        <v>46208</v>
      </c>
      <c r="E142" s="47" t="s">
        <v>58</v>
      </c>
      <c r="F142" s="48" t="n">
        <v>61246.3</v>
      </c>
      <c r="G142" s="47" t="s">
        <v>66</v>
      </c>
      <c r="H142" s="47" t="s">
        <v>41</v>
      </c>
      <c r="I142" s="47" t="s">
        <v>86</v>
      </c>
      <c r="J142" s="47" t="s">
        <v>28</v>
      </c>
      <c r="K142" s="47" t="s">
        <v>34</v>
      </c>
    </row>
    <row r="143" customFormat="false" ht="15" hidden="false" customHeight="false" outlineLevel="0" collapsed="false">
      <c r="A143" s="0" t="s">
        <v>394</v>
      </c>
      <c r="B143" s="0" t="s">
        <v>395</v>
      </c>
      <c r="D143" s="46" t="n">
        <v>45671</v>
      </c>
      <c r="E143" s="47" t="s">
        <v>55</v>
      </c>
      <c r="F143" s="48" t="n">
        <v>115393.98</v>
      </c>
      <c r="G143" s="47" t="s">
        <v>53</v>
      </c>
      <c r="H143" s="47" t="s">
        <v>43</v>
      </c>
      <c r="I143" s="47" t="s">
        <v>201</v>
      </c>
      <c r="J143" s="47" t="s">
        <v>28</v>
      </c>
      <c r="K143" s="47" t="s">
        <v>34</v>
      </c>
    </row>
    <row r="144" customFormat="false" ht="15" hidden="false" customHeight="false" outlineLevel="0" collapsed="false">
      <c r="A144" s="0" t="s">
        <v>396</v>
      </c>
      <c r="B144" s="0" t="s">
        <v>397</v>
      </c>
      <c r="D144" s="46" t="n">
        <v>45936</v>
      </c>
      <c r="E144" s="47" t="s">
        <v>53</v>
      </c>
      <c r="F144" s="48" t="n">
        <v>42331.46</v>
      </c>
      <c r="G144" s="47" t="s">
        <v>65</v>
      </c>
      <c r="H144" s="47" t="s">
        <v>42</v>
      </c>
      <c r="I144" s="47" t="s">
        <v>398</v>
      </c>
      <c r="J144" s="47" t="s">
        <v>29</v>
      </c>
      <c r="K144" s="47" t="s">
        <v>34</v>
      </c>
    </row>
    <row r="145" customFormat="false" ht="15" hidden="false" customHeight="false" outlineLevel="0" collapsed="false">
      <c r="A145" s="0" t="s">
        <v>399</v>
      </c>
      <c r="B145" s="0" t="s">
        <v>400</v>
      </c>
      <c r="D145" s="46" t="n">
        <v>46231</v>
      </c>
      <c r="E145" s="47" t="s">
        <v>59</v>
      </c>
      <c r="F145" s="48" t="n">
        <v>62837.91</v>
      </c>
      <c r="G145" s="47" t="s">
        <v>57</v>
      </c>
      <c r="H145" s="47" t="s">
        <v>42</v>
      </c>
      <c r="I145" s="47" t="s">
        <v>137</v>
      </c>
      <c r="J145" s="47" t="s">
        <v>28</v>
      </c>
      <c r="K145" s="47" t="s">
        <v>33</v>
      </c>
    </row>
    <row r="146" customFormat="false" ht="15" hidden="false" customHeight="false" outlineLevel="0" collapsed="false">
      <c r="A146" s="0" t="s">
        <v>401</v>
      </c>
      <c r="B146" s="0" t="s">
        <v>402</v>
      </c>
      <c r="D146" s="46" t="n">
        <v>46268</v>
      </c>
      <c r="E146" s="47" t="s">
        <v>59</v>
      </c>
      <c r="F146" s="48" t="n">
        <v>169973.28</v>
      </c>
      <c r="G146" s="47" t="s">
        <v>65</v>
      </c>
      <c r="H146" s="47" t="s">
        <v>45</v>
      </c>
      <c r="I146" s="47" t="s">
        <v>151</v>
      </c>
      <c r="J146" s="47" t="s">
        <v>28</v>
      </c>
      <c r="K146" s="47" t="s">
        <v>33</v>
      </c>
    </row>
    <row r="147" customFormat="false" ht="15" hidden="false" customHeight="false" outlineLevel="0" collapsed="false">
      <c r="A147" s="0" t="s">
        <v>403</v>
      </c>
      <c r="B147" s="0" t="s">
        <v>404</v>
      </c>
      <c r="D147" s="46" t="n">
        <v>45677</v>
      </c>
      <c r="E147" s="47" t="s">
        <v>62</v>
      </c>
      <c r="F147" s="48" t="n">
        <v>66822.96</v>
      </c>
      <c r="G147" s="47" t="s">
        <v>66</v>
      </c>
      <c r="H147" s="47" t="s">
        <v>39</v>
      </c>
      <c r="I147" s="47" t="s">
        <v>98</v>
      </c>
      <c r="J147" s="47" t="s">
        <v>28</v>
      </c>
      <c r="K147" s="47" t="s">
        <v>34</v>
      </c>
    </row>
    <row r="148" customFormat="false" ht="15" hidden="false" customHeight="false" outlineLevel="0" collapsed="false">
      <c r="A148" s="0" t="s">
        <v>405</v>
      </c>
      <c r="B148" s="0" t="s">
        <v>406</v>
      </c>
      <c r="D148" s="46" t="n">
        <v>45784</v>
      </c>
      <c r="E148" s="47" t="s">
        <v>62</v>
      </c>
      <c r="F148" s="48" t="n">
        <v>79861.54</v>
      </c>
      <c r="G148" s="47" t="s">
        <v>68</v>
      </c>
      <c r="H148" s="47" t="s">
        <v>39</v>
      </c>
      <c r="I148" s="47" t="s">
        <v>98</v>
      </c>
      <c r="J148" s="47" t="s">
        <v>28</v>
      </c>
      <c r="K148" s="47" t="s">
        <v>34</v>
      </c>
    </row>
    <row r="149" customFormat="false" ht="15" hidden="false" customHeight="false" outlineLevel="0" collapsed="false">
      <c r="A149" s="0" t="s">
        <v>407</v>
      </c>
      <c r="B149" s="0" t="s">
        <v>408</v>
      </c>
      <c r="D149" s="46" t="n">
        <v>45867</v>
      </c>
      <c r="E149" s="47" t="s">
        <v>55</v>
      </c>
      <c r="F149" s="48" t="n">
        <v>150759.91</v>
      </c>
      <c r="G149" s="47" t="s">
        <v>65</v>
      </c>
      <c r="H149" s="47" t="s">
        <v>43</v>
      </c>
      <c r="I149" s="47" t="s">
        <v>102</v>
      </c>
      <c r="J149" s="47" t="s">
        <v>28</v>
      </c>
      <c r="K149" s="47" t="s">
        <v>34</v>
      </c>
    </row>
    <row r="150" customFormat="false" ht="15" hidden="false" customHeight="false" outlineLevel="0" collapsed="false">
      <c r="A150" s="0" t="s">
        <v>409</v>
      </c>
      <c r="B150" s="0" t="s">
        <v>410</v>
      </c>
      <c r="D150" s="46" t="n">
        <v>46226</v>
      </c>
      <c r="E150" s="47" t="s">
        <v>61</v>
      </c>
      <c r="F150" s="48" t="n">
        <v>155565.7</v>
      </c>
      <c r="G150" s="47" t="s">
        <v>65</v>
      </c>
      <c r="H150" s="47" t="s">
        <v>47</v>
      </c>
      <c r="I150" s="47" t="s">
        <v>245</v>
      </c>
      <c r="J150" s="47" t="s">
        <v>28</v>
      </c>
      <c r="K150" s="47" t="s">
        <v>33</v>
      </c>
    </row>
    <row r="151" customFormat="false" ht="15" hidden="false" customHeight="false" outlineLevel="0" collapsed="false">
      <c r="A151" s="0" t="s">
        <v>411</v>
      </c>
      <c r="B151" s="0" t="s">
        <v>408</v>
      </c>
      <c r="D151" s="46" t="n">
        <v>46159</v>
      </c>
      <c r="E151" s="47" t="s">
        <v>55</v>
      </c>
      <c r="F151" s="48" t="n">
        <v>54152.88</v>
      </c>
      <c r="G151" s="47" t="s">
        <v>66</v>
      </c>
      <c r="H151" s="47" t="s">
        <v>43</v>
      </c>
      <c r="I151" s="47" t="s">
        <v>102</v>
      </c>
      <c r="J151" s="47" t="s">
        <v>28</v>
      </c>
      <c r="K151" s="47" t="s">
        <v>33</v>
      </c>
    </row>
    <row r="152" customFormat="false" ht="15" hidden="false" customHeight="false" outlineLevel="0" collapsed="false">
      <c r="A152" s="0" t="s">
        <v>412</v>
      </c>
      <c r="B152" s="0" t="s">
        <v>413</v>
      </c>
      <c r="D152" s="46" t="n">
        <v>46161</v>
      </c>
      <c r="E152" s="47" t="s">
        <v>58</v>
      </c>
      <c r="F152" s="48" t="n">
        <v>55742.93</v>
      </c>
      <c r="G152" s="47" t="s">
        <v>57</v>
      </c>
      <c r="H152" s="47" t="s">
        <v>47</v>
      </c>
      <c r="I152" s="47" t="s">
        <v>166</v>
      </c>
      <c r="J152" s="47" t="s">
        <v>28</v>
      </c>
      <c r="K152" s="47" t="s">
        <v>34</v>
      </c>
    </row>
    <row r="153" customFormat="false" ht="15" hidden="false" customHeight="false" outlineLevel="0" collapsed="false">
      <c r="A153" s="0" t="s">
        <v>414</v>
      </c>
      <c r="B153" s="0" t="s">
        <v>415</v>
      </c>
      <c r="D153" s="46" t="n">
        <v>45671</v>
      </c>
      <c r="E153" s="47" t="s">
        <v>55</v>
      </c>
      <c r="F153" s="48" t="n">
        <v>161228.76</v>
      </c>
      <c r="G153" s="47" t="s">
        <v>57</v>
      </c>
      <c r="H153" s="47" t="s">
        <v>39</v>
      </c>
      <c r="I153" s="47" t="s">
        <v>98</v>
      </c>
      <c r="J153" s="47" t="s">
        <v>28</v>
      </c>
      <c r="K153" s="47" t="s">
        <v>34</v>
      </c>
    </row>
    <row r="154" customFormat="false" ht="15" hidden="false" customHeight="false" outlineLevel="0" collapsed="false">
      <c r="A154" s="0" t="s">
        <v>416</v>
      </c>
      <c r="B154" s="0" t="s">
        <v>417</v>
      </c>
      <c r="D154" s="46" t="n">
        <v>46033</v>
      </c>
      <c r="E154" s="47" t="s">
        <v>62</v>
      </c>
      <c r="F154" s="48" t="n">
        <v>42416.12</v>
      </c>
      <c r="G154" s="47" t="s">
        <v>65</v>
      </c>
      <c r="H154" s="47" t="s">
        <v>39</v>
      </c>
      <c r="I154" s="47" t="s">
        <v>145</v>
      </c>
      <c r="J154" s="47" t="s">
        <v>28</v>
      </c>
      <c r="K154" s="47" t="s">
        <v>33</v>
      </c>
    </row>
    <row r="155" customFormat="false" ht="15" hidden="false" customHeight="false" outlineLevel="0" collapsed="false">
      <c r="A155" s="0" t="s">
        <v>418</v>
      </c>
      <c r="B155" s="0" t="s">
        <v>419</v>
      </c>
      <c r="D155" s="46" t="n">
        <v>45719</v>
      </c>
      <c r="E155" s="47" t="s">
        <v>58</v>
      </c>
      <c r="F155" s="48" t="n">
        <v>163715.59</v>
      </c>
      <c r="G155" s="47" t="s">
        <v>68</v>
      </c>
      <c r="H155" s="47" t="s">
        <v>46</v>
      </c>
      <c r="I155" s="47" t="s">
        <v>121</v>
      </c>
      <c r="J155" s="47" t="s">
        <v>28</v>
      </c>
      <c r="K155" s="47" t="s">
        <v>33</v>
      </c>
    </row>
    <row r="156" customFormat="false" ht="15" hidden="false" customHeight="false" outlineLevel="0" collapsed="false">
      <c r="A156" s="0" t="s">
        <v>420</v>
      </c>
      <c r="B156" s="0" t="s">
        <v>421</v>
      </c>
      <c r="D156" s="46" t="n">
        <v>46058</v>
      </c>
      <c r="E156" s="47" t="s">
        <v>61</v>
      </c>
      <c r="F156" s="48" t="n">
        <v>74773.57</v>
      </c>
      <c r="G156" s="47" t="s">
        <v>57</v>
      </c>
      <c r="H156" s="47" t="s">
        <v>42</v>
      </c>
      <c r="I156" s="47" t="s">
        <v>105</v>
      </c>
      <c r="J156" s="47" t="s">
        <v>28</v>
      </c>
      <c r="K156" s="47" t="s">
        <v>34</v>
      </c>
    </row>
    <row r="157" customFormat="false" ht="15" hidden="false" customHeight="false" outlineLevel="0" collapsed="false">
      <c r="A157" s="0" t="s">
        <v>422</v>
      </c>
      <c r="B157" s="0" t="s">
        <v>423</v>
      </c>
      <c r="C157" s="0" t="s">
        <v>424</v>
      </c>
      <c r="D157" s="46" t="n">
        <v>45716</v>
      </c>
      <c r="E157" s="47" t="s">
        <v>59</v>
      </c>
      <c r="F157" s="48" t="n">
        <v>42490.83</v>
      </c>
      <c r="G157" s="47" t="s">
        <v>65</v>
      </c>
      <c r="H157" s="47" t="s">
        <v>47</v>
      </c>
      <c r="I157" s="47" t="s">
        <v>108</v>
      </c>
      <c r="J157" s="47" t="s">
        <v>28</v>
      </c>
      <c r="K157" s="47" t="s">
        <v>34</v>
      </c>
    </row>
    <row r="158" customFormat="false" ht="15" hidden="false" customHeight="false" outlineLevel="0" collapsed="false">
      <c r="A158" s="0" t="s">
        <v>425</v>
      </c>
      <c r="B158" s="0" t="s">
        <v>426</v>
      </c>
      <c r="D158" s="46" t="n">
        <v>45948</v>
      </c>
      <c r="E158" s="47" t="s">
        <v>62</v>
      </c>
      <c r="F158" s="48" t="n">
        <v>137464.59</v>
      </c>
      <c r="G158" s="47" t="s">
        <v>57</v>
      </c>
      <c r="H158" s="47" t="s">
        <v>39</v>
      </c>
      <c r="I158" s="47" t="s">
        <v>98</v>
      </c>
      <c r="J158" s="47" t="s">
        <v>28</v>
      </c>
      <c r="K158" s="47" t="s">
        <v>34</v>
      </c>
    </row>
    <row r="159" customFormat="false" ht="15" hidden="false" customHeight="false" outlineLevel="0" collapsed="false">
      <c r="A159" s="0" t="s">
        <v>427</v>
      </c>
      <c r="B159" s="0" t="s">
        <v>428</v>
      </c>
      <c r="D159" s="46" t="n">
        <v>46203</v>
      </c>
      <c r="E159" s="47" t="s">
        <v>58</v>
      </c>
      <c r="F159" s="48" t="n">
        <v>74919.13</v>
      </c>
      <c r="G159" s="47" t="s">
        <v>66</v>
      </c>
      <c r="H159" s="47" t="s">
        <v>40</v>
      </c>
      <c r="I159" s="47" t="s">
        <v>83</v>
      </c>
      <c r="J159" s="47" t="s">
        <v>28</v>
      </c>
      <c r="K159" s="47" t="s">
        <v>34</v>
      </c>
    </row>
    <row r="160" customFormat="false" ht="15" hidden="false" customHeight="false" outlineLevel="0" collapsed="false">
      <c r="A160" s="0" t="s">
        <v>429</v>
      </c>
      <c r="B160" s="0" t="s">
        <v>430</v>
      </c>
      <c r="D160" s="46" t="n">
        <v>45775</v>
      </c>
      <c r="E160" s="47" t="s">
        <v>53</v>
      </c>
      <c r="F160" s="48" t="n">
        <v>67939.2</v>
      </c>
      <c r="G160" s="47" t="s">
        <v>53</v>
      </c>
      <c r="H160" s="47" t="s">
        <v>43</v>
      </c>
      <c r="I160" s="47" t="s">
        <v>102</v>
      </c>
      <c r="J160" s="47" t="s">
        <v>28</v>
      </c>
      <c r="K160" s="47" t="s">
        <v>34</v>
      </c>
    </row>
    <row r="161" customFormat="false" ht="15" hidden="false" customHeight="false" outlineLevel="0" collapsed="false">
      <c r="A161" s="0" t="s">
        <v>431</v>
      </c>
      <c r="B161" s="0" t="s">
        <v>432</v>
      </c>
      <c r="C161" s="0" t="s">
        <v>433</v>
      </c>
      <c r="D161" s="46" t="n">
        <v>45856</v>
      </c>
      <c r="E161" s="47" t="s">
        <v>58</v>
      </c>
      <c r="F161" s="48" t="n">
        <v>26939.93</v>
      </c>
      <c r="G161" s="47" t="s">
        <v>53</v>
      </c>
      <c r="H161" s="47" t="s">
        <v>46</v>
      </c>
      <c r="I161" s="47" t="s">
        <v>121</v>
      </c>
      <c r="J161" s="47" t="s">
        <v>28</v>
      </c>
      <c r="K161" s="47" t="s">
        <v>33</v>
      </c>
    </row>
    <row r="162" customFormat="false" ht="15" hidden="false" customHeight="false" outlineLevel="0" collapsed="false">
      <c r="A162" s="0" t="s">
        <v>434</v>
      </c>
      <c r="B162" s="0" t="s">
        <v>435</v>
      </c>
      <c r="D162" s="46" t="n">
        <v>45853</v>
      </c>
      <c r="E162" s="47" t="s">
        <v>59</v>
      </c>
      <c r="F162" s="48" t="n">
        <v>28054.84</v>
      </c>
      <c r="G162" s="47" t="s">
        <v>66</v>
      </c>
      <c r="H162" s="47" t="s">
        <v>48</v>
      </c>
      <c r="I162" s="47" t="s">
        <v>114</v>
      </c>
      <c r="J162" s="47" t="s">
        <v>28</v>
      </c>
      <c r="K162" s="47" t="s">
        <v>34</v>
      </c>
    </row>
    <row r="163" customFormat="false" ht="15" hidden="false" customHeight="false" outlineLevel="0" collapsed="false">
      <c r="A163" s="0" t="s">
        <v>436</v>
      </c>
      <c r="B163" s="0" t="s">
        <v>437</v>
      </c>
      <c r="D163" s="46" t="n">
        <v>45858</v>
      </c>
      <c r="E163" s="47" t="s">
        <v>62</v>
      </c>
      <c r="F163" s="48" t="n">
        <v>132372.09</v>
      </c>
      <c r="G163" s="47" t="s">
        <v>65</v>
      </c>
      <c r="H163" s="47" t="s">
        <v>39</v>
      </c>
      <c r="I163" s="47" t="s">
        <v>145</v>
      </c>
      <c r="J163" s="47" t="s">
        <v>28</v>
      </c>
      <c r="K163" s="47" t="s">
        <v>34</v>
      </c>
    </row>
    <row r="164" customFormat="false" ht="15" hidden="false" customHeight="false" outlineLevel="0" collapsed="false">
      <c r="A164" s="0" t="s">
        <v>438</v>
      </c>
      <c r="B164" s="0" t="s">
        <v>439</v>
      </c>
      <c r="D164" s="46" t="n">
        <v>46283</v>
      </c>
      <c r="E164" s="47" t="s">
        <v>62</v>
      </c>
      <c r="F164" s="48" t="n">
        <v>192672.14</v>
      </c>
      <c r="G164" s="47" t="s">
        <v>53</v>
      </c>
      <c r="H164" s="47" t="s">
        <v>39</v>
      </c>
      <c r="I164" s="47" t="s">
        <v>98</v>
      </c>
      <c r="J164" s="47" t="s">
        <v>28</v>
      </c>
      <c r="K164" s="47" t="s">
        <v>34</v>
      </c>
    </row>
    <row r="165" customFormat="false" ht="15" hidden="false" customHeight="false" outlineLevel="0" collapsed="false">
      <c r="A165" s="0" t="s">
        <v>440</v>
      </c>
      <c r="B165" s="0" t="s">
        <v>441</v>
      </c>
      <c r="C165" s="0" t="s">
        <v>442</v>
      </c>
      <c r="D165" s="46" t="n">
        <v>45727</v>
      </c>
      <c r="E165" s="47" t="s">
        <v>58</v>
      </c>
      <c r="F165" s="48" t="n">
        <v>3519.02</v>
      </c>
      <c r="G165" s="47" t="s">
        <v>57</v>
      </c>
      <c r="H165" s="47" t="s">
        <v>45</v>
      </c>
      <c r="I165" s="47" t="s">
        <v>217</v>
      </c>
      <c r="J165" s="47" t="s">
        <v>28</v>
      </c>
      <c r="K165" s="47" t="s">
        <v>33</v>
      </c>
    </row>
    <row r="166" customFormat="false" ht="15" hidden="false" customHeight="false" outlineLevel="0" collapsed="false">
      <c r="A166" s="0" t="s">
        <v>443</v>
      </c>
      <c r="B166" s="0" t="s">
        <v>444</v>
      </c>
      <c r="C166" s="0" t="s">
        <v>445</v>
      </c>
      <c r="D166" s="46" t="n">
        <v>45804</v>
      </c>
      <c r="E166" s="47" t="s">
        <v>61</v>
      </c>
      <c r="F166" s="48" t="n">
        <v>21697.06</v>
      </c>
      <c r="G166" s="47" t="s">
        <v>68</v>
      </c>
      <c r="H166" s="47" t="s">
        <v>46</v>
      </c>
      <c r="I166" s="47" t="s">
        <v>121</v>
      </c>
      <c r="J166" s="47" t="s">
        <v>28</v>
      </c>
      <c r="K166" s="47" t="s">
        <v>33</v>
      </c>
    </row>
    <row r="167" customFormat="false" ht="15" hidden="false" customHeight="false" outlineLevel="0" collapsed="false">
      <c r="A167" s="0" t="s">
        <v>446</v>
      </c>
      <c r="B167" s="0" t="s">
        <v>155</v>
      </c>
      <c r="D167" s="46" t="n">
        <v>46086</v>
      </c>
      <c r="E167" s="47" t="s">
        <v>53</v>
      </c>
      <c r="F167" s="48" t="n">
        <v>43380.34</v>
      </c>
      <c r="G167" s="47" t="s">
        <v>65</v>
      </c>
      <c r="H167" s="47" t="s">
        <v>48</v>
      </c>
      <c r="I167" s="47" t="s">
        <v>114</v>
      </c>
      <c r="J167" s="47" t="s">
        <v>29</v>
      </c>
      <c r="K167" s="47" t="s">
        <v>34</v>
      </c>
    </row>
    <row r="168" customFormat="false" ht="15" hidden="false" customHeight="false" outlineLevel="0" collapsed="false">
      <c r="A168" s="0" t="s">
        <v>447</v>
      </c>
      <c r="B168" s="0" t="s">
        <v>448</v>
      </c>
      <c r="D168" s="46" t="n">
        <v>45736</v>
      </c>
      <c r="E168" s="47" t="s">
        <v>59</v>
      </c>
      <c r="F168" s="48" t="n">
        <v>2261</v>
      </c>
      <c r="G168" s="47" t="s">
        <v>66</v>
      </c>
      <c r="H168" s="47" t="s">
        <v>39</v>
      </c>
      <c r="I168" s="47" t="s">
        <v>98</v>
      </c>
      <c r="J168" s="47" t="s">
        <v>28</v>
      </c>
      <c r="K168" s="47" t="s">
        <v>34</v>
      </c>
    </row>
    <row r="169" customFormat="false" ht="15" hidden="false" customHeight="false" outlineLevel="0" collapsed="false">
      <c r="A169" s="0" t="s">
        <v>449</v>
      </c>
      <c r="B169" s="0" t="s">
        <v>139</v>
      </c>
      <c r="D169" s="46" t="n">
        <v>46129</v>
      </c>
      <c r="E169" s="47" t="s">
        <v>55</v>
      </c>
      <c r="F169" s="48" t="n">
        <v>70344.01</v>
      </c>
      <c r="G169" s="47" t="s">
        <v>57</v>
      </c>
      <c r="H169" s="47" t="s">
        <v>41</v>
      </c>
      <c r="I169" s="47" t="s">
        <v>86</v>
      </c>
      <c r="J169" s="47" t="s">
        <v>28</v>
      </c>
      <c r="K169" s="47" t="s">
        <v>34</v>
      </c>
    </row>
    <row r="170" customFormat="false" ht="15" hidden="false" customHeight="false" outlineLevel="0" collapsed="false">
      <c r="A170" s="0" t="s">
        <v>450</v>
      </c>
      <c r="B170" s="0" t="s">
        <v>451</v>
      </c>
      <c r="D170" s="46" t="n">
        <v>46150</v>
      </c>
      <c r="E170" s="47" t="s">
        <v>60</v>
      </c>
      <c r="F170" s="48" t="n">
        <v>113175.81</v>
      </c>
      <c r="G170" s="47" t="s">
        <v>68</v>
      </c>
      <c r="H170" s="47" t="s">
        <v>41</v>
      </c>
      <c r="I170" s="47" t="s">
        <v>293</v>
      </c>
      <c r="J170" s="47" t="s">
        <v>28</v>
      </c>
      <c r="K170" s="47" t="s">
        <v>33</v>
      </c>
    </row>
    <row r="171" customFormat="false" ht="15" hidden="false" customHeight="false" outlineLevel="0" collapsed="false">
      <c r="A171" s="0" t="s">
        <v>452</v>
      </c>
      <c r="B171" s="0" t="s">
        <v>85</v>
      </c>
      <c r="D171" s="46" t="n">
        <v>45959</v>
      </c>
      <c r="E171" s="47" t="s">
        <v>61</v>
      </c>
      <c r="F171" s="48" t="n">
        <v>122147.23</v>
      </c>
      <c r="G171" s="47" t="s">
        <v>53</v>
      </c>
      <c r="H171" s="47" t="s">
        <v>41</v>
      </c>
      <c r="I171" s="47" t="s">
        <v>86</v>
      </c>
      <c r="J171" s="47" t="s">
        <v>28</v>
      </c>
      <c r="K171" s="47" t="s">
        <v>34</v>
      </c>
    </row>
    <row r="172" customFormat="false" ht="15" hidden="false" customHeight="false" outlineLevel="0" collapsed="false">
      <c r="A172" s="0" t="s">
        <v>453</v>
      </c>
      <c r="B172" s="0" t="s">
        <v>241</v>
      </c>
      <c r="D172" s="46" t="n">
        <v>45672</v>
      </c>
      <c r="E172" s="47" t="s">
        <v>53</v>
      </c>
      <c r="F172" s="48" t="n">
        <v>94162.11</v>
      </c>
      <c r="G172" s="47" t="s">
        <v>65</v>
      </c>
      <c r="H172" s="47" t="s">
        <v>46</v>
      </c>
      <c r="I172" s="47" t="s">
        <v>242</v>
      </c>
      <c r="J172" s="47" t="s">
        <v>28</v>
      </c>
      <c r="K172" s="47" t="s">
        <v>33</v>
      </c>
    </row>
    <row r="173" customFormat="false" ht="15" hidden="false" customHeight="false" outlineLevel="0" collapsed="false">
      <c r="A173" s="0" t="s">
        <v>454</v>
      </c>
      <c r="B173" s="0" t="s">
        <v>455</v>
      </c>
      <c r="D173" s="46" t="n">
        <v>46114</v>
      </c>
      <c r="E173" s="47" t="s">
        <v>61</v>
      </c>
      <c r="F173" s="48" t="n">
        <v>36520.36</v>
      </c>
      <c r="G173" s="47" t="s">
        <v>53</v>
      </c>
      <c r="H173" s="47" t="s">
        <v>44</v>
      </c>
      <c r="I173" s="47" t="s">
        <v>80</v>
      </c>
      <c r="J173" s="47" t="s">
        <v>28</v>
      </c>
      <c r="K173" s="47" t="s">
        <v>33</v>
      </c>
    </row>
    <row r="174" customFormat="false" ht="15" hidden="false" customHeight="false" outlineLevel="0" collapsed="false">
      <c r="A174" s="0" t="s">
        <v>456</v>
      </c>
      <c r="B174" s="0" t="s">
        <v>457</v>
      </c>
      <c r="D174" s="46" t="n">
        <v>45666</v>
      </c>
      <c r="E174" s="47" t="s">
        <v>58</v>
      </c>
      <c r="F174" s="48" t="n">
        <v>107435.16</v>
      </c>
      <c r="G174" s="47" t="s">
        <v>66</v>
      </c>
      <c r="H174" s="47" t="s">
        <v>39</v>
      </c>
      <c r="I174" s="47" t="s">
        <v>177</v>
      </c>
      <c r="J174" s="47" t="s">
        <v>28</v>
      </c>
      <c r="K174" s="47" t="s">
        <v>33</v>
      </c>
    </row>
    <row r="175" customFormat="false" ht="15" hidden="false" customHeight="false" outlineLevel="0" collapsed="false">
      <c r="A175" s="0" t="s">
        <v>458</v>
      </c>
      <c r="B175" s="0" t="s">
        <v>459</v>
      </c>
      <c r="D175" s="46" t="n">
        <v>45897</v>
      </c>
      <c r="E175" s="47" t="s">
        <v>61</v>
      </c>
      <c r="F175" s="48" t="n">
        <v>143090.96</v>
      </c>
      <c r="G175" s="47" t="s">
        <v>66</v>
      </c>
      <c r="H175" s="47" t="s">
        <v>45</v>
      </c>
      <c r="I175" s="47" t="s">
        <v>217</v>
      </c>
      <c r="J175" s="47" t="s">
        <v>28</v>
      </c>
      <c r="K175" s="47" t="s">
        <v>33</v>
      </c>
    </row>
    <row r="176" customFormat="false" ht="15" hidden="false" customHeight="false" outlineLevel="0" collapsed="false">
      <c r="A176" s="0" t="s">
        <v>460</v>
      </c>
      <c r="B176" s="0" t="s">
        <v>461</v>
      </c>
      <c r="D176" s="46" t="n">
        <v>45969</v>
      </c>
      <c r="E176" s="47" t="s">
        <v>59</v>
      </c>
      <c r="F176" s="48" t="n">
        <v>512.12</v>
      </c>
      <c r="G176" s="47" t="s">
        <v>65</v>
      </c>
      <c r="H176" s="47" t="s">
        <v>48</v>
      </c>
      <c r="I176" s="47" t="s">
        <v>111</v>
      </c>
      <c r="J176" s="47" t="s">
        <v>28</v>
      </c>
      <c r="K176" s="47" t="s">
        <v>33</v>
      </c>
    </row>
    <row r="177" customFormat="false" ht="15" hidden="false" customHeight="false" outlineLevel="0" collapsed="false">
      <c r="A177" s="0" t="s">
        <v>462</v>
      </c>
      <c r="B177" s="0" t="s">
        <v>463</v>
      </c>
      <c r="C177" s="0" t="s">
        <v>464</v>
      </c>
      <c r="D177" s="46" t="n">
        <v>45692</v>
      </c>
      <c r="E177" s="47" t="s">
        <v>55</v>
      </c>
      <c r="F177" s="48" t="n">
        <v>74900.4</v>
      </c>
      <c r="G177" s="47" t="s">
        <v>66</v>
      </c>
      <c r="H177" s="47" t="s">
        <v>40</v>
      </c>
      <c r="I177" s="47" t="s">
        <v>83</v>
      </c>
      <c r="J177" s="47" t="s">
        <v>28</v>
      </c>
      <c r="K177" s="47" t="s">
        <v>33</v>
      </c>
    </row>
    <row r="178" customFormat="false" ht="15" hidden="false" customHeight="false" outlineLevel="0" collapsed="false">
      <c r="A178" s="0" t="s">
        <v>465</v>
      </c>
      <c r="B178" s="0" t="s">
        <v>466</v>
      </c>
      <c r="D178" s="46" t="n">
        <v>45690</v>
      </c>
      <c r="E178" s="47" t="s">
        <v>58</v>
      </c>
      <c r="F178" s="48" t="n">
        <v>48680.19</v>
      </c>
      <c r="G178" s="47" t="s">
        <v>53</v>
      </c>
      <c r="H178" s="47" t="s">
        <v>47</v>
      </c>
      <c r="I178" s="47" t="s">
        <v>108</v>
      </c>
      <c r="J178" s="47" t="s">
        <v>28</v>
      </c>
      <c r="K178" s="47" t="s">
        <v>34</v>
      </c>
    </row>
    <row r="179" customFormat="false" ht="15" hidden="false" customHeight="false" outlineLevel="0" collapsed="false">
      <c r="A179" s="0" t="s">
        <v>467</v>
      </c>
      <c r="B179" s="0" t="s">
        <v>468</v>
      </c>
      <c r="D179" s="46" t="n">
        <v>45785</v>
      </c>
      <c r="E179" s="47" t="s">
        <v>59</v>
      </c>
      <c r="F179" s="48" t="n">
        <v>194785.94</v>
      </c>
      <c r="G179" s="47" t="s">
        <v>57</v>
      </c>
      <c r="H179" s="47" t="s">
        <v>40</v>
      </c>
      <c r="I179" s="47" t="s">
        <v>83</v>
      </c>
      <c r="J179" s="47" t="s">
        <v>28</v>
      </c>
      <c r="K179" s="47" t="s">
        <v>33</v>
      </c>
    </row>
    <row r="180" customFormat="false" ht="15" hidden="false" customHeight="false" outlineLevel="0" collapsed="false">
      <c r="A180" s="0" t="s">
        <v>469</v>
      </c>
      <c r="B180" s="0" t="s">
        <v>470</v>
      </c>
      <c r="C180" s="0" t="s">
        <v>471</v>
      </c>
      <c r="D180" s="46" t="n">
        <v>46054</v>
      </c>
      <c r="E180" s="47" t="s">
        <v>60</v>
      </c>
      <c r="F180" s="48" t="n">
        <v>196867.86</v>
      </c>
      <c r="G180" s="47" t="s">
        <v>66</v>
      </c>
      <c r="H180" s="47" t="s">
        <v>43</v>
      </c>
      <c r="I180" s="47" t="s">
        <v>117</v>
      </c>
      <c r="J180" s="47" t="s">
        <v>28</v>
      </c>
      <c r="K180" s="47" t="s">
        <v>33</v>
      </c>
    </row>
    <row r="181" customFormat="false" ht="15" hidden="false" customHeight="false" outlineLevel="0" collapsed="false">
      <c r="A181" s="0" t="s">
        <v>472</v>
      </c>
      <c r="B181" s="0" t="s">
        <v>473</v>
      </c>
      <c r="D181" s="46" t="n">
        <v>45732</v>
      </c>
      <c r="E181" s="47" t="s">
        <v>60</v>
      </c>
      <c r="F181" s="48" t="n">
        <v>70431.23</v>
      </c>
      <c r="G181" s="47" t="s">
        <v>68</v>
      </c>
      <c r="H181" s="47" t="s">
        <v>41</v>
      </c>
      <c r="I181" s="47" t="s">
        <v>272</v>
      </c>
      <c r="J181" s="47" t="s">
        <v>28</v>
      </c>
      <c r="K181" s="47" t="s">
        <v>34</v>
      </c>
    </row>
    <row r="182" customFormat="false" ht="15" hidden="false" customHeight="false" outlineLevel="0" collapsed="false">
      <c r="A182" s="0" t="s">
        <v>474</v>
      </c>
      <c r="B182" s="0" t="s">
        <v>475</v>
      </c>
      <c r="C182" s="0" t="s">
        <v>476</v>
      </c>
      <c r="D182" s="46" t="n">
        <v>45737</v>
      </c>
      <c r="E182" s="47" t="s">
        <v>55</v>
      </c>
      <c r="F182" s="48" t="n">
        <v>18399.18</v>
      </c>
      <c r="G182" s="47" t="s">
        <v>66</v>
      </c>
      <c r="H182" s="47" t="s">
        <v>42</v>
      </c>
      <c r="I182" s="47" t="s">
        <v>398</v>
      </c>
      <c r="J182" s="47" t="s">
        <v>28</v>
      </c>
      <c r="K182" s="47" t="s">
        <v>33</v>
      </c>
    </row>
    <row r="183" customFormat="false" ht="15" hidden="false" customHeight="false" outlineLevel="0" collapsed="false">
      <c r="A183" s="0" t="s">
        <v>477</v>
      </c>
      <c r="B183" s="0" t="s">
        <v>478</v>
      </c>
      <c r="D183" s="46" t="n">
        <v>46229</v>
      </c>
      <c r="E183" s="47" t="s">
        <v>61</v>
      </c>
      <c r="F183" s="48" t="n">
        <v>4307.64</v>
      </c>
      <c r="G183" s="47" t="s">
        <v>53</v>
      </c>
      <c r="H183" s="47" t="s">
        <v>48</v>
      </c>
      <c r="I183" s="47" t="s">
        <v>114</v>
      </c>
      <c r="J183" s="47" t="s">
        <v>28</v>
      </c>
      <c r="K183" s="47" t="s">
        <v>34</v>
      </c>
    </row>
    <row r="184" customFormat="false" ht="15" hidden="false" customHeight="false" outlineLevel="0" collapsed="false">
      <c r="A184" s="0" t="s">
        <v>479</v>
      </c>
      <c r="B184" s="0" t="s">
        <v>94</v>
      </c>
      <c r="D184" s="46" t="n">
        <v>45679</v>
      </c>
      <c r="E184" s="47" t="s">
        <v>53</v>
      </c>
      <c r="F184" s="48" t="n">
        <v>101535.9</v>
      </c>
      <c r="G184" s="47" t="s">
        <v>57</v>
      </c>
      <c r="H184" s="47" t="s">
        <v>45</v>
      </c>
      <c r="I184" s="47" t="s">
        <v>95</v>
      </c>
      <c r="J184" s="47" t="s">
        <v>28</v>
      </c>
      <c r="K184" s="47" t="s">
        <v>33</v>
      </c>
    </row>
    <row r="185" customFormat="false" ht="15" hidden="false" customHeight="false" outlineLevel="0" collapsed="false">
      <c r="A185" s="0" t="s">
        <v>480</v>
      </c>
      <c r="B185" s="0" t="s">
        <v>481</v>
      </c>
      <c r="D185" s="46" t="n">
        <v>46282</v>
      </c>
      <c r="E185" s="47" t="s">
        <v>55</v>
      </c>
      <c r="F185" s="48" t="n">
        <v>100425.34</v>
      </c>
      <c r="G185" s="47" t="s">
        <v>68</v>
      </c>
      <c r="H185" s="47" t="s">
        <v>42</v>
      </c>
      <c r="I185" s="47" t="s">
        <v>398</v>
      </c>
      <c r="J185" s="47" t="s">
        <v>28</v>
      </c>
      <c r="K185" s="47" t="s">
        <v>33</v>
      </c>
    </row>
    <row r="186" customFormat="false" ht="15" hidden="false" customHeight="false" outlineLevel="0" collapsed="false">
      <c r="A186" s="0" t="s">
        <v>482</v>
      </c>
      <c r="B186" s="0" t="s">
        <v>354</v>
      </c>
      <c r="D186" s="46" t="n">
        <v>45814</v>
      </c>
      <c r="E186" s="47" t="s">
        <v>59</v>
      </c>
      <c r="F186" s="48" t="n">
        <v>97153.13</v>
      </c>
      <c r="G186" s="47" t="s">
        <v>66</v>
      </c>
      <c r="H186" s="47" t="s">
        <v>40</v>
      </c>
      <c r="I186" s="47" t="s">
        <v>89</v>
      </c>
      <c r="J186" s="47" t="s">
        <v>28</v>
      </c>
      <c r="K186" s="47" t="s">
        <v>34</v>
      </c>
    </row>
    <row r="187" customFormat="false" ht="15" hidden="false" customHeight="false" outlineLevel="0" collapsed="false">
      <c r="A187" s="0" t="s">
        <v>483</v>
      </c>
      <c r="B187" s="0" t="s">
        <v>484</v>
      </c>
      <c r="D187" s="46" t="n">
        <v>45857</v>
      </c>
      <c r="E187" s="47" t="s">
        <v>53</v>
      </c>
      <c r="F187" s="48" t="n">
        <v>70159.82</v>
      </c>
      <c r="G187" s="47" t="s">
        <v>57</v>
      </c>
      <c r="H187" s="47" t="s">
        <v>41</v>
      </c>
      <c r="I187" s="47" t="s">
        <v>272</v>
      </c>
      <c r="J187" s="47" t="s">
        <v>28</v>
      </c>
      <c r="K187" s="47" t="s">
        <v>34</v>
      </c>
    </row>
    <row r="188" customFormat="false" ht="15" hidden="false" customHeight="false" outlineLevel="0" collapsed="false">
      <c r="A188" s="0" t="s">
        <v>485</v>
      </c>
      <c r="B188" s="0" t="s">
        <v>261</v>
      </c>
      <c r="D188" s="46" t="n">
        <v>45898</v>
      </c>
      <c r="E188" s="47" t="s">
        <v>58</v>
      </c>
      <c r="F188" s="48" t="n">
        <v>101015.94</v>
      </c>
      <c r="G188" s="47" t="s">
        <v>66</v>
      </c>
      <c r="H188" s="47" t="s">
        <v>43</v>
      </c>
      <c r="I188" s="47" t="s">
        <v>102</v>
      </c>
      <c r="J188" s="47" t="s">
        <v>28</v>
      </c>
      <c r="K188" s="47" t="s">
        <v>34</v>
      </c>
    </row>
    <row r="189" customFormat="false" ht="15" hidden="false" customHeight="false" outlineLevel="0" collapsed="false">
      <c r="A189" s="0" t="s">
        <v>486</v>
      </c>
      <c r="B189" s="0" t="s">
        <v>487</v>
      </c>
      <c r="D189" s="46" t="n">
        <v>45780</v>
      </c>
      <c r="E189" s="47" t="s">
        <v>60</v>
      </c>
      <c r="F189" s="48" t="n">
        <v>159528.82</v>
      </c>
      <c r="G189" s="47" t="s">
        <v>66</v>
      </c>
      <c r="H189" s="47" t="s">
        <v>45</v>
      </c>
      <c r="I189" s="47" t="s">
        <v>151</v>
      </c>
      <c r="J189" s="47" t="s">
        <v>29</v>
      </c>
      <c r="K189" s="47" t="s">
        <v>33</v>
      </c>
    </row>
    <row r="190" customFormat="false" ht="15" hidden="false" customHeight="false" outlineLevel="0" collapsed="false">
      <c r="A190" s="0" t="s">
        <v>488</v>
      </c>
      <c r="B190" s="0" t="s">
        <v>489</v>
      </c>
      <c r="D190" s="46" t="n">
        <v>46106</v>
      </c>
      <c r="E190" s="47" t="s">
        <v>62</v>
      </c>
      <c r="F190" s="48" t="n">
        <v>20182.2</v>
      </c>
      <c r="G190" s="47" t="s">
        <v>65</v>
      </c>
      <c r="H190" s="47" t="s">
        <v>41</v>
      </c>
      <c r="I190" s="47" t="s">
        <v>272</v>
      </c>
      <c r="J190" s="47" t="s">
        <v>28</v>
      </c>
      <c r="K190" s="47" t="s">
        <v>34</v>
      </c>
    </row>
    <row r="191" customFormat="false" ht="15" hidden="false" customHeight="false" outlineLevel="0" collapsed="false">
      <c r="A191" s="0" t="s">
        <v>490</v>
      </c>
      <c r="B191" s="0" t="s">
        <v>491</v>
      </c>
      <c r="C191" s="0" t="s">
        <v>492</v>
      </c>
      <c r="D191" s="46" t="n">
        <v>46243</v>
      </c>
      <c r="E191" s="47" t="s">
        <v>62</v>
      </c>
      <c r="F191" s="48" t="n">
        <v>28687.94</v>
      </c>
      <c r="G191" s="47" t="s">
        <v>65</v>
      </c>
      <c r="H191" s="47" t="s">
        <v>47</v>
      </c>
      <c r="I191" s="47" t="s">
        <v>108</v>
      </c>
      <c r="J191" s="47" t="s">
        <v>28</v>
      </c>
      <c r="K191" s="47" t="s">
        <v>33</v>
      </c>
    </row>
    <row r="192" customFormat="false" ht="15" hidden="false" customHeight="false" outlineLevel="0" collapsed="false">
      <c r="A192" s="0" t="s">
        <v>493</v>
      </c>
      <c r="B192" s="0" t="s">
        <v>494</v>
      </c>
      <c r="C192" s="0" t="s">
        <v>495</v>
      </c>
      <c r="D192" s="46" t="n">
        <v>45696</v>
      </c>
      <c r="E192" s="47" t="s">
        <v>53</v>
      </c>
      <c r="F192" s="48" t="n">
        <v>103907.69</v>
      </c>
      <c r="G192" s="47" t="s">
        <v>68</v>
      </c>
      <c r="H192" s="47" t="s">
        <v>39</v>
      </c>
      <c r="I192" s="47" t="s">
        <v>145</v>
      </c>
      <c r="J192" s="47" t="s">
        <v>28</v>
      </c>
      <c r="K192" s="47" t="s">
        <v>34</v>
      </c>
    </row>
    <row r="193" customFormat="false" ht="15" hidden="false" customHeight="false" outlineLevel="0" collapsed="false">
      <c r="A193" s="0" t="s">
        <v>496</v>
      </c>
      <c r="B193" s="0" t="s">
        <v>244</v>
      </c>
      <c r="D193" s="46" t="n">
        <v>45704</v>
      </c>
      <c r="E193" s="47" t="s">
        <v>60</v>
      </c>
      <c r="F193" s="48" t="n">
        <v>161121.58</v>
      </c>
      <c r="G193" s="47" t="s">
        <v>53</v>
      </c>
      <c r="H193" s="47" t="s">
        <v>47</v>
      </c>
      <c r="I193" s="47" t="s">
        <v>245</v>
      </c>
      <c r="J193" s="47" t="s">
        <v>28</v>
      </c>
      <c r="K193" s="47" t="s">
        <v>34</v>
      </c>
    </row>
    <row r="194" customFormat="false" ht="15" hidden="false" customHeight="false" outlineLevel="0" collapsed="false">
      <c r="A194" s="0" t="s">
        <v>497</v>
      </c>
      <c r="B194" s="0" t="s">
        <v>498</v>
      </c>
      <c r="D194" s="46" t="n">
        <v>45838</v>
      </c>
      <c r="E194" s="47" t="s">
        <v>61</v>
      </c>
      <c r="F194" s="48" t="n">
        <v>144389.51</v>
      </c>
      <c r="G194" s="47" t="s">
        <v>53</v>
      </c>
      <c r="H194" s="47" t="s">
        <v>46</v>
      </c>
      <c r="I194" s="47" t="s">
        <v>121</v>
      </c>
      <c r="J194" s="47" t="s">
        <v>28</v>
      </c>
      <c r="K194" s="47" t="s">
        <v>33</v>
      </c>
    </row>
    <row r="195" customFormat="false" ht="15" hidden="false" customHeight="false" outlineLevel="0" collapsed="false">
      <c r="A195" s="0" t="s">
        <v>499</v>
      </c>
      <c r="B195" s="0" t="s">
        <v>500</v>
      </c>
      <c r="D195" s="46" t="n">
        <v>45898</v>
      </c>
      <c r="E195" s="47" t="s">
        <v>55</v>
      </c>
      <c r="F195" s="48" t="n">
        <v>191865.33</v>
      </c>
      <c r="G195" s="47" t="s">
        <v>57</v>
      </c>
      <c r="H195" s="47" t="s">
        <v>48</v>
      </c>
      <c r="I195" s="47" t="s">
        <v>111</v>
      </c>
      <c r="J195" s="47" t="s">
        <v>28</v>
      </c>
      <c r="K195" s="47" t="s">
        <v>34</v>
      </c>
    </row>
    <row r="196" customFormat="false" ht="15" hidden="false" customHeight="false" outlineLevel="0" collapsed="false">
      <c r="A196" s="0" t="s">
        <v>501</v>
      </c>
      <c r="B196" s="0" t="s">
        <v>502</v>
      </c>
      <c r="D196" s="46" t="n">
        <v>46145</v>
      </c>
      <c r="E196" s="47" t="s">
        <v>60</v>
      </c>
      <c r="F196" s="48" t="n">
        <v>163649.02</v>
      </c>
      <c r="G196" s="47" t="s">
        <v>65</v>
      </c>
      <c r="H196" s="47" t="s">
        <v>43</v>
      </c>
      <c r="I196" s="47" t="s">
        <v>102</v>
      </c>
      <c r="J196" s="47" t="s">
        <v>28</v>
      </c>
      <c r="K196" s="47" t="s">
        <v>34</v>
      </c>
    </row>
    <row r="197" customFormat="false" ht="15" hidden="false" customHeight="false" outlineLevel="0" collapsed="false">
      <c r="A197" s="0" t="s">
        <v>503</v>
      </c>
      <c r="B197" s="0" t="s">
        <v>504</v>
      </c>
      <c r="D197" s="46" t="n">
        <v>46150</v>
      </c>
      <c r="E197" s="47" t="s">
        <v>59</v>
      </c>
      <c r="F197" s="48" t="n">
        <v>150146.66</v>
      </c>
      <c r="G197" s="47" t="s">
        <v>53</v>
      </c>
      <c r="H197" s="47" t="s">
        <v>46</v>
      </c>
      <c r="I197" s="47" t="s">
        <v>148</v>
      </c>
      <c r="J197" s="47" t="s">
        <v>28</v>
      </c>
      <c r="K197" s="47" t="s">
        <v>34</v>
      </c>
    </row>
    <row r="198" customFormat="false" ht="15" hidden="false" customHeight="false" outlineLevel="0" collapsed="false">
      <c r="A198" s="0" t="s">
        <v>505</v>
      </c>
      <c r="B198" s="0" t="s">
        <v>506</v>
      </c>
      <c r="D198" s="46" t="n">
        <v>45949</v>
      </c>
      <c r="E198" s="47" t="s">
        <v>62</v>
      </c>
      <c r="F198" s="48" t="n">
        <v>30745.91</v>
      </c>
      <c r="G198" s="47" t="s">
        <v>65</v>
      </c>
      <c r="H198" s="47" t="s">
        <v>40</v>
      </c>
      <c r="I198" s="47" t="s">
        <v>89</v>
      </c>
      <c r="J198" s="47" t="s">
        <v>28</v>
      </c>
      <c r="K198" s="47" t="s">
        <v>33</v>
      </c>
    </row>
    <row r="199" customFormat="false" ht="15" hidden="false" customHeight="false" outlineLevel="0" collapsed="false">
      <c r="A199" s="0" t="s">
        <v>507</v>
      </c>
      <c r="B199" s="0" t="s">
        <v>337</v>
      </c>
      <c r="D199" s="46" t="n">
        <v>46261</v>
      </c>
      <c r="E199" s="47" t="s">
        <v>58</v>
      </c>
      <c r="F199" s="48" t="n">
        <v>101858.5</v>
      </c>
      <c r="G199" s="47" t="s">
        <v>66</v>
      </c>
      <c r="H199" s="47" t="s">
        <v>39</v>
      </c>
      <c r="I199" s="47" t="s">
        <v>145</v>
      </c>
      <c r="J199" s="47" t="s">
        <v>28</v>
      </c>
      <c r="K199" s="47" t="s">
        <v>33</v>
      </c>
    </row>
    <row r="200" customFormat="false" ht="15" hidden="false" customHeight="false" outlineLevel="0" collapsed="false">
      <c r="A200" s="0" t="s">
        <v>508</v>
      </c>
      <c r="B200" s="0" t="s">
        <v>509</v>
      </c>
      <c r="D200" s="46" t="n">
        <v>46273</v>
      </c>
      <c r="E200" s="47" t="s">
        <v>55</v>
      </c>
      <c r="F200" s="48" t="n">
        <v>84788.01</v>
      </c>
      <c r="G200" s="47" t="s">
        <v>57</v>
      </c>
      <c r="H200" s="47" t="s">
        <v>46</v>
      </c>
      <c r="I200" s="47" t="s">
        <v>121</v>
      </c>
      <c r="J200" s="47" t="s">
        <v>28</v>
      </c>
      <c r="K200" s="47" t="s">
        <v>34</v>
      </c>
    </row>
    <row r="201" customFormat="false" ht="15" hidden="false" customHeight="false" outlineLevel="0" collapsed="false">
      <c r="A201" s="0" t="s">
        <v>510</v>
      </c>
      <c r="B201" s="0" t="s">
        <v>511</v>
      </c>
      <c r="D201" s="46" t="n">
        <v>45808</v>
      </c>
      <c r="E201" s="47" t="s">
        <v>55</v>
      </c>
      <c r="F201" s="48" t="n">
        <v>123671.1</v>
      </c>
      <c r="G201" s="47" t="s">
        <v>68</v>
      </c>
      <c r="H201" s="47" t="s">
        <v>40</v>
      </c>
      <c r="I201" s="47" t="s">
        <v>89</v>
      </c>
      <c r="J201" s="47" t="s">
        <v>28</v>
      </c>
      <c r="K201" s="47" t="s">
        <v>34</v>
      </c>
    </row>
    <row r="202" customFormat="false" ht="15" hidden="false" customHeight="false" outlineLevel="0" collapsed="false">
      <c r="A202" s="0" t="s">
        <v>512</v>
      </c>
      <c r="B202" s="0" t="s">
        <v>513</v>
      </c>
      <c r="D202" s="46" t="n">
        <v>46080</v>
      </c>
      <c r="E202" s="47" t="s">
        <v>58</v>
      </c>
      <c r="F202" s="48" t="n">
        <v>37008.95</v>
      </c>
      <c r="G202" s="47" t="s">
        <v>53</v>
      </c>
      <c r="H202" s="47" t="s">
        <v>44</v>
      </c>
      <c r="I202" s="47" t="s">
        <v>80</v>
      </c>
      <c r="J202" s="47" t="s">
        <v>28</v>
      </c>
      <c r="K202" s="47" t="s">
        <v>34</v>
      </c>
    </row>
    <row r="203" customFormat="false" ht="15" hidden="false" customHeight="false" outlineLevel="0" collapsed="false">
      <c r="A203" s="0" t="s">
        <v>514</v>
      </c>
      <c r="B203" s="0" t="s">
        <v>515</v>
      </c>
      <c r="C203" s="0" t="s">
        <v>516</v>
      </c>
      <c r="D203" s="46" t="n">
        <v>45995</v>
      </c>
      <c r="E203" s="47" t="s">
        <v>58</v>
      </c>
      <c r="F203" s="48" t="n">
        <v>195325.23</v>
      </c>
      <c r="G203" s="47" t="s">
        <v>68</v>
      </c>
      <c r="H203" s="47" t="s">
        <v>45</v>
      </c>
      <c r="I203" s="47" t="s">
        <v>95</v>
      </c>
      <c r="J203" s="47" t="s">
        <v>30</v>
      </c>
      <c r="K203" s="47" t="s">
        <v>34</v>
      </c>
    </row>
    <row r="204" customFormat="false" ht="15" hidden="false" customHeight="false" outlineLevel="0" collapsed="false">
      <c r="A204" s="0" t="s">
        <v>517</v>
      </c>
      <c r="B204" s="0" t="s">
        <v>518</v>
      </c>
      <c r="D204" s="46" t="n">
        <v>45914</v>
      </c>
      <c r="E204" s="47" t="s">
        <v>61</v>
      </c>
      <c r="F204" s="48" t="n">
        <v>130976.23</v>
      </c>
      <c r="G204" s="47" t="s">
        <v>68</v>
      </c>
      <c r="H204" s="47" t="s">
        <v>48</v>
      </c>
      <c r="I204" s="47" t="s">
        <v>111</v>
      </c>
      <c r="J204" s="47" t="s">
        <v>28</v>
      </c>
      <c r="K204" s="47" t="s">
        <v>33</v>
      </c>
    </row>
    <row r="205" customFormat="false" ht="15" hidden="false" customHeight="false" outlineLevel="0" collapsed="false">
      <c r="A205" s="0" t="s">
        <v>519</v>
      </c>
      <c r="B205" s="0" t="s">
        <v>520</v>
      </c>
      <c r="D205" s="46" t="n">
        <v>45697</v>
      </c>
      <c r="E205" s="47" t="s">
        <v>58</v>
      </c>
      <c r="F205" s="48" t="n">
        <v>171687.76</v>
      </c>
      <c r="G205" s="47" t="s">
        <v>53</v>
      </c>
      <c r="H205" s="47" t="s">
        <v>47</v>
      </c>
      <c r="I205" s="47" t="s">
        <v>108</v>
      </c>
      <c r="J205" s="47" t="s">
        <v>28</v>
      </c>
      <c r="K205" s="47" t="s">
        <v>33</v>
      </c>
    </row>
    <row r="206" customFormat="false" ht="15" hidden="false" customHeight="false" outlineLevel="0" collapsed="false">
      <c r="A206" s="0" t="s">
        <v>521</v>
      </c>
      <c r="B206" s="0" t="s">
        <v>522</v>
      </c>
      <c r="D206" s="46" t="n">
        <v>46090</v>
      </c>
      <c r="E206" s="47" t="s">
        <v>62</v>
      </c>
      <c r="F206" s="48" t="n">
        <v>96088.11</v>
      </c>
      <c r="G206" s="47" t="s">
        <v>65</v>
      </c>
      <c r="H206" s="47" t="s">
        <v>42</v>
      </c>
      <c r="I206" s="47" t="s">
        <v>105</v>
      </c>
      <c r="J206" s="47" t="s">
        <v>28</v>
      </c>
      <c r="K206" s="47" t="s">
        <v>33</v>
      </c>
    </row>
    <row r="207" customFormat="false" ht="15" hidden="false" customHeight="false" outlineLevel="0" collapsed="false">
      <c r="A207" s="0" t="s">
        <v>523</v>
      </c>
      <c r="B207" s="0" t="s">
        <v>524</v>
      </c>
      <c r="C207" s="0" t="s">
        <v>525</v>
      </c>
      <c r="D207" s="46" t="n">
        <v>45920</v>
      </c>
      <c r="E207" s="47" t="s">
        <v>55</v>
      </c>
      <c r="F207" s="48" t="n">
        <v>22251.9</v>
      </c>
      <c r="G207" s="47" t="s">
        <v>65</v>
      </c>
      <c r="H207" s="47" t="s">
        <v>41</v>
      </c>
      <c r="I207" s="47" t="s">
        <v>272</v>
      </c>
      <c r="J207" s="47" t="s">
        <v>28</v>
      </c>
      <c r="K207" s="47" t="s">
        <v>33</v>
      </c>
    </row>
    <row r="208" customFormat="false" ht="15" hidden="false" customHeight="false" outlineLevel="0" collapsed="false">
      <c r="A208" s="0" t="s">
        <v>526</v>
      </c>
      <c r="B208" s="0" t="s">
        <v>527</v>
      </c>
      <c r="D208" s="46" t="n">
        <v>46047</v>
      </c>
      <c r="E208" s="47" t="s">
        <v>53</v>
      </c>
      <c r="F208" s="48" t="n">
        <v>34225.54</v>
      </c>
      <c r="G208" s="47" t="s">
        <v>65</v>
      </c>
      <c r="H208" s="47" t="s">
        <v>47</v>
      </c>
      <c r="I208" s="47" t="s">
        <v>245</v>
      </c>
      <c r="J208" s="47" t="s">
        <v>30</v>
      </c>
      <c r="K208" s="47" t="s">
        <v>34</v>
      </c>
    </row>
    <row r="209" customFormat="false" ht="15" hidden="false" customHeight="false" outlineLevel="0" collapsed="false">
      <c r="A209" s="0" t="s">
        <v>528</v>
      </c>
      <c r="B209" s="0" t="s">
        <v>529</v>
      </c>
      <c r="D209" s="46" t="n">
        <v>45745</v>
      </c>
      <c r="E209" s="47" t="s">
        <v>60</v>
      </c>
      <c r="F209" s="48" t="n">
        <v>120152.91</v>
      </c>
      <c r="G209" s="47" t="s">
        <v>53</v>
      </c>
      <c r="H209" s="47" t="s">
        <v>48</v>
      </c>
      <c r="I209" s="47" t="s">
        <v>212</v>
      </c>
      <c r="J209" s="47" t="s">
        <v>28</v>
      </c>
      <c r="K209" s="47" t="s">
        <v>34</v>
      </c>
    </row>
    <row r="210" customFormat="false" ht="15" hidden="false" customHeight="false" outlineLevel="0" collapsed="false">
      <c r="A210" s="0" t="s">
        <v>530</v>
      </c>
      <c r="B210" s="0" t="s">
        <v>531</v>
      </c>
      <c r="D210" s="46" t="n">
        <v>46095</v>
      </c>
      <c r="E210" s="47" t="s">
        <v>59</v>
      </c>
      <c r="F210" s="48" t="n">
        <v>18446.58</v>
      </c>
      <c r="G210" s="47" t="s">
        <v>57</v>
      </c>
      <c r="H210" s="47" t="s">
        <v>41</v>
      </c>
      <c r="I210" s="47" t="s">
        <v>86</v>
      </c>
      <c r="J210" s="47" t="s">
        <v>28</v>
      </c>
      <c r="K210" s="47" t="s">
        <v>34</v>
      </c>
    </row>
    <row r="211" customFormat="false" ht="15" hidden="false" customHeight="false" outlineLevel="0" collapsed="false">
      <c r="A211" s="0" t="s">
        <v>532</v>
      </c>
      <c r="B211" s="0" t="s">
        <v>247</v>
      </c>
      <c r="D211" s="46" t="n">
        <v>46285</v>
      </c>
      <c r="E211" s="47" t="s">
        <v>62</v>
      </c>
      <c r="F211" s="48" t="n">
        <v>52700.81</v>
      </c>
      <c r="G211" s="47" t="s">
        <v>66</v>
      </c>
      <c r="H211" s="47" t="s">
        <v>44</v>
      </c>
      <c r="I211" s="47" t="s">
        <v>80</v>
      </c>
      <c r="J211" s="47" t="s">
        <v>28</v>
      </c>
      <c r="K211" s="47" t="s">
        <v>33</v>
      </c>
    </row>
    <row r="212" customFormat="false" ht="15" hidden="false" customHeight="false" outlineLevel="0" collapsed="false">
      <c r="A212" s="0" t="s">
        <v>533</v>
      </c>
      <c r="B212" s="0" t="s">
        <v>534</v>
      </c>
      <c r="D212" s="46" t="n">
        <v>46273</v>
      </c>
      <c r="E212" s="47" t="s">
        <v>61</v>
      </c>
      <c r="F212" s="48" t="n">
        <v>81062.79</v>
      </c>
      <c r="G212" s="47" t="s">
        <v>68</v>
      </c>
      <c r="H212" s="47" t="s">
        <v>42</v>
      </c>
      <c r="I212" s="47" t="s">
        <v>105</v>
      </c>
      <c r="J212" s="47" t="s">
        <v>28</v>
      </c>
      <c r="K212" s="47" t="s">
        <v>34</v>
      </c>
    </row>
    <row r="213" customFormat="false" ht="15" hidden="false" customHeight="false" outlineLevel="0" collapsed="false">
      <c r="A213" s="0" t="s">
        <v>535</v>
      </c>
      <c r="B213" s="0" t="s">
        <v>536</v>
      </c>
      <c r="D213" s="46" t="n">
        <v>46083</v>
      </c>
      <c r="E213" s="47" t="s">
        <v>60</v>
      </c>
      <c r="F213" s="48" t="n">
        <v>124486.48</v>
      </c>
      <c r="G213" s="47" t="s">
        <v>65</v>
      </c>
      <c r="H213" s="47" t="s">
        <v>39</v>
      </c>
      <c r="I213" s="47" t="s">
        <v>177</v>
      </c>
      <c r="J213" s="47" t="s">
        <v>29</v>
      </c>
      <c r="K213" s="47" t="s">
        <v>33</v>
      </c>
    </row>
    <row r="214" customFormat="false" ht="15" hidden="false" customHeight="false" outlineLevel="0" collapsed="false">
      <c r="A214" s="0" t="s">
        <v>537</v>
      </c>
      <c r="B214" s="0" t="s">
        <v>538</v>
      </c>
      <c r="D214" s="46" t="n">
        <v>46265</v>
      </c>
      <c r="E214" s="47" t="s">
        <v>53</v>
      </c>
      <c r="F214" s="48" t="n">
        <v>126345.67</v>
      </c>
      <c r="G214" s="47" t="s">
        <v>66</v>
      </c>
      <c r="H214" s="47" t="s">
        <v>46</v>
      </c>
      <c r="I214" s="47" t="s">
        <v>242</v>
      </c>
      <c r="J214" s="47" t="s">
        <v>28</v>
      </c>
      <c r="K214" s="47" t="s">
        <v>34</v>
      </c>
    </row>
    <row r="215" customFormat="false" ht="15" hidden="false" customHeight="false" outlineLevel="0" collapsed="false">
      <c r="A215" s="0" t="s">
        <v>539</v>
      </c>
      <c r="B215" s="0" t="s">
        <v>540</v>
      </c>
      <c r="D215" s="46" t="n">
        <v>45760</v>
      </c>
      <c r="E215" s="47" t="s">
        <v>62</v>
      </c>
      <c r="F215" s="48" t="n">
        <v>94421.8</v>
      </c>
      <c r="G215" s="47" t="s">
        <v>57</v>
      </c>
      <c r="H215" s="47" t="s">
        <v>39</v>
      </c>
      <c r="I215" s="47" t="s">
        <v>145</v>
      </c>
      <c r="J215" s="47" t="s">
        <v>28</v>
      </c>
      <c r="K215" s="47" t="s">
        <v>34</v>
      </c>
    </row>
    <row r="216" customFormat="false" ht="15" hidden="false" customHeight="false" outlineLevel="0" collapsed="false">
      <c r="A216" s="0" t="s">
        <v>541</v>
      </c>
      <c r="B216" s="0" t="s">
        <v>542</v>
      </c>
      <c r="D216" s="46" t="n">
        <v>45975</v>
      </c>
      <c r="E216" s="47" t="s">
        <v>60</v>
      </c>
      <c r="F216" s="48" t="n">
        <v>125789.89</v>
      </c>
      <c r="G216" s="47" t="s">
        <v>65</v>
      </c>
      <c r="H216" s="47" t="s">
        <v>42</v>
      </c>
      <c r="I216" s="47" t="s">
        <v>398</v>
      </c>
      <c r="J216" s="47" t="s">
        <v>28</v>
      </c>
      <c r="K216" s="47" t="s">
        <v>33</v>
      </c>
    </row>
    <row r="217" customFormat="false" ht="15" hidden="false" customHeight="false" outlineLevel="0" collapsed="false">
      <c r="A217" s="0" t="s">
        <v>543</v>
      </c>
      <c r="B217" s="0" t="s">
        <v>544</v>
      </c>
      <c r="D217" s="46" t="n">
        <v>46184</v>
      </c>
      <c r="E217" s="47" t="s">
        <v>62</v>
      </c>
      <c r="F217" s="48" t="n">
        <v>42052.83</v>
      </c>
      <c r="G217" s="47" t="s">
        <v>66</v>
      </c>
      <c r="H217" s="47" t="s">
        <v>44</v>
      </c>
      <c r="I217" s="47" t="s">
        <v>80</v>
      </c>
      <c r="J217" s="47" t="s">
        <v>29</v>
      </c>
      <c r="K217" s="47" t="s">
        <v>34</v>
      </c>
    </row>
    <row r="218" customFormat="false" ht="15" hidden="false" customHeight="false" outlineLevel="0" collapsed="false">
      <c r="A218" s="0" t="s">
        <v>545</v>
      </c>
      <c r="B218" s="0" t="s">
        <v>307</v>
      </c>
      <c r="D218" s="46" t="n">
        <v>45798</v>
      </c>
      <c r="E218" s="47" t="s">
        <v>59</v>
      </c>
      <c r="F218" s="48" t="n">
        <v>14568.66</v>
      </c>
      <c r="G218" s="47" t="s">
        <v>68</v>
      </c>
      <c r="H218" s="47" t="s">
        <v>40</v>
      </c>
      <c r="I218" s="47" t="s">
        <v>89</v>
      </c>
      <c r="J218" s="47" t="s">
        <v>30</v>
      </c>
      <c r="K218" s="47" t="s">
        <v>34</v>
      </c>
    </row>
    <row r="219" customFormat="false" ht="15" hidden="false" customHeight="false" outlineLevel="0" collapsed="false">
      <c r="A219" s="0" t="s">
        <v>546</v>
      </c>
      <c r="B219" s="0" t="s">
        <v>547</v>
      </c>
      <c r="D219" s="46" t="n">
        <v>45707</v>
      </c>
      <c r="E219" s="47" t="s">
        <v>53</v>
      </c>
      <c r="F219" s="48" t="n">
        <v>142747.09</v>
      </c>
      <c r="G219" s="47" t="s">
        <v>57</v>
      </c>
      <c r="H219" s="47" t="s">
        <v>47</v>
      </c>
      <c r="I219" s="47" t="s">
        <v>245</v>
      </c>
      <c r="J219" s="47" t="s">
        <v>28</v>
      </c>
      <c r="K219" s="47" t="s">
        <v>33</v>
      </c>
    </row>
    <row r="220" customFormat="false" ht="15" hidden="false" customHeight="false" outlineLevel="0" collapsed="false">
      <c r="A220" s="0" t="s">
        <v>548</v>
      </c>
      <c r="B220" s="0" t="s">
        <v>549</v>
      </c>
      <c r="D220" s="46" t="n">
        <v>45910</v>
      </c>
      <c r="E220" s="47" t="s">
        <v>61</v>
      </c>
      <c r="F220" s="48" t="n">
        <v>77276.54</v>
      </c>
      <c r="G220" s="47" t="s">
        <v>53</v>
      </c>
      <c r="H220" s="47" t="s">
        <v>44</v>
      </c>
      <c r="I220" s="47" t="s">
        <v>80</v>
      </c>
      <c r="J220" s="47" t="s">
        <v>28</v>
      </c>
      <c r="K220" s="47" t="s">
        <v>33</v>
      </c>
    </row>
    <row r="221" customFormat="false" ht="15" hidden="false" customHeight="false" outlineLevel="0" collapsed="false">
      <c r="A221" s="0" t="s">
        <v>550</v>
      </c>
      <c r="B221" s="0" t="s">
        <v>538</v>
      </c>
      <c r="D221" s="46" t="n">
        <v>45889</v>
      </c>
      <c r="E221" s="47" t="s">
        <v>61</v>
      </c>
      <c r="F221" s="48" t="n">
        <v>199079.78</v>
      </c>
      <c r="G221" s="47" t="s">
        <v>66</v>
      </c>
      <c r="H221" s="47" t="s">
        <v>46</v>
      </c>
      <c r="I221" s="47" t="s">
        <v>242</v>
      </c>
      <c r="J221" s="47" t="s">
        <v>28</v>
      </c>
      <c r="K221" s="47" t="s">
        <v>33</v>
      </c>
    </row>
    <row r="222" customFormat="false" ht="15" hidden="false" customHeight="false" outlineLevel="0" collapsed="false">
      <c r="A222" s="0" t="s">
        <v>551</v>
      </c>
      <c r="B222" s="0" t="s">
        <v>552</v>
      </c>
      <c r="D222" s="46" t="n">
        <v>45945</v>
      </c>
      <c r="E222" s="47" t="s">
        <v>58</v>
      </c>
      <c r="F222" s="48" t="n">
        <v>190843.34</v>
      </c>
      <c r="G222" s="47" t="s">
        <v>65</v>
      </c>
      <c r="H222" s="47" t="s">
        <v>46</v>
      </c>
      <c r="I222" s="47" t="s">
        <v>121</v>
      </c>
      <c r="J222" s="47" t="s">
        <v>29</v>
      </c>
      <c r="K222" s="47" t="s">
        <v>34</v>
      </c>
    </row>
    <row r="223" customFormat="false" ht="15" hidden="false" customHeight="false" outlineLevel="0" collapsed="false">
      <c r="A223" s="0" t="s">
        <v>553</v>
      </c>
      <c r="B223" s="0" t="s">
        <v>466</v>
      </c>
      <c r="D223" s="46" t="n">
        <v>45803</v>
      </c>
      <c r="E223" s="47" t="s">
        <v>61</v>
      </c>
      <c r="F223" s="48" t="n">
        <v>119700.78</v>
      </c>
      <c r="G223" s="47" t="s">
        <v>57</v>
      </c>
      <c r="H223" s="47" t="s">
        <v>47</v>
      </c>
      <c r="I223" s="47" t="s">
        <v>108</v>
      </c>
      <c r="J223" s="47" t="s">
        <v>28</v>
      </c>
      <c r="K223" s="47" t="s">
        <v>33</v>
      </c>
    </row>
    <row r="224" customFormat="false" ht="15" hidden="false" customHeight="false" outlineLevel="0" collapsed="false">
      <c r="A224" s="0" t="s">
        <v>554</v>
      </c>
      <c r="B224" s="0" t="s">
        <v>555</v>
      </c>
      <c r="D224" s="46" t="n">
        <v>46204</v>
      </c>
      <c r="E224" s="47" t="s">
        <v>53</v>
      </c>
      <c r="F224" s="48" t="n">
        <v>153274.44</v>
      </c>
      <c r="G224" s="47" t="s">
        <v>68</v>
      </c>
      <c r="H224" s="47" t="s">
        <v>40</v>
      </c>
      <c r="I224" s="47" t="s">
        <v>89</v>
      </c>
      <c r="J224" s="47" t="s">
        <v>28</v>
      </c>
      <c r="K224" s="47" t="s">
        <v>33</v>
      </c>
    </row>
    <row r="225" customFormat="false" ht="15" hidden="false" customHeight="false" outlineLevel="0" collapsed="false">
      <c r="A225" s="0" t="s">
        <v>556</v>
      </c>
      <c r="B225" s="0" t="s">
        <v>557</v>
      </c>
      <c r="D225" s="46" t="n">
        <v>45865</v>
      </c>
      <c r="E225" s="47" t="s">
        <v>53</v>
      </c>
      <c r="F225" s="48" t="n">
        <v>199663.66</v>
      </c>
      <c r="G225" s="47" t="s">
        <v>53</v>
      </c>
      <c r="H225" s="47" t="s">
        <v>48</v>
      </c>
      <c r="I225" s="47" t="s">
        <v>111</v>
      </c>
      <c r="J225" s="47" t="s">
        <v>29</v>
      </c>
      <c r="K225" s="47" t="s">
        <v>34</v>
      </c>
    </row>
    <row r="226" customFormat="false" ht="15" hidden="false" customHeight="false" outlineLevel="0" collapsed="false">
      <c r="A226" s="0" t="s">
        <v>558</v>
      </c>
      <c r="B226" s="0" t="s">
        <v>559</v>
      </c>
      <c r="D226" s="46" t="n">
        <v>45895</v>
      </c>
      <c r="E226" s="47" t="s">
        <v>62</v>
      </c>
      <c r="F226" s="48" t="n">
        <v>107499.09</v>
      </c>
      <c r="G226" s="47" t="s">
        <v>66</v>
      </c>
      <c r="H226" s="47" t="s">
        <v>44</v>
      </c>
      <c r="I226" s="47" t="s">
        <v>80</v>
      </c>
      <c r="J226" s="47" t="s">
        <v>28</v>
      </c>
      <c r="K226" s="47" t="s">
        <v>34</v>
      </c>
    </row>
    <row r="227" customFormat="false" ht="15" hidden="false" customHeight="false" outlineLevel="0" collapsed="false">
      <c r="A227" s="0" t="s">
        <v>560</v>
      </c>
      <c r="B227" s="0" t="s">
        <v>561</v>
      </c>
      <c r="C227" s="0" t="s">
        <v>562</v>
      </c>
      <c r="D227" s="46" t="n">
        <v>45958</v>
      </c>
      <c r="E227" s="47" t="s">
        <v>58</v>
      </c>
      <c r="F227" s="48" t="n">
        <v>57799.57</v>
      </c>
      <c r="G227" s="47" t="s">
        <v>68</v>
      </c>
      <c r="H227" s="47" t="s">
        <v>43</v>
      </c>
      <c r="I227" s="47" t="s">
        <v>201</v>
      </c>
      <c r="J227" s="47" t="s">
        <v>28</v>
      </c>
      <c r="K227" s="47" t="s">
        <v>33</v>
      </c>
    </row>
    <row r="228" customFormat="false" ht="15" hidden="false" customHeight="false" outlineLevel="0" collapsed="false">
      <c r="A228" s="0" t="s">
        <v>563</v>
      </c>
      <c r="B228" s="0" t="s">
        <v>564</v>
      </c>
      <c r="D228" s="46" t="n">
        <v>45984</v>
      </c>
      <c r="E228" s="47" t="s">
        <v>55</v>
      </c>
      <c r="F228" s="48" t="n">
        <v>41757.47</v>
      </c>
      <c r="G228" s="47" t="s">
        <v>53</v>
      </c>
      <c r="H228" s="47" t="s">
        <v>47</v>
      </c>
      <c r="I228" s="47" t="s">
        <v>245</v>
      </c>
      <c r="J228" s="47" t="s">
        <v>28</v>
      </c>
      <c r="K228" s="47" t="s">
        <v>34</v>
      </c>
    </row>
    <row r="229" customFormat="false" ht="15" hidden="false" customHeight="false" outlineLevel="0" collapsed="false">
      <c r="A229" s="0" t="s">
        <v>565</v>
      </c>
      <c r="B229" s="0" t="s">
        <v>566</v>
      </c>
      <c r="D229" s="46" t="n">
        <v>45800</v>
      </c>
      <c r="E229" s="47" t="s">
        <v>60</v>
      </c>
      <c r="F229" s="48" t="n">
        <v>153380.49</v>
      </c>
      <c r="G229" s="47" t="s">
        <v>66</v>
      </c>
      <c r="H229" s="47" t="s">
        <v>45</v>
      </c>
      <c r="I229" s="47" t="s">
        <v>151</v>
      </c>
      <c r="J229" s="47" t="s">
        <v>28</v>
      </c>
      <c r="K229" s="47" t="s">
        <v>33</v>
      </c>
    </row>
    <row r="230" customFormat="false" ht="15" hidden="false" customHeight="false" outlineLevel="0" collapsed="false">
      <c r="A230" s="0" t="s">
        <v>567</v>
      </c>
      <c r="B230" s="0" t="s">
        <v>247</v>
      </c>
      <c r="D230" s="46" t="n">
        <v>45836</v>
      </c>
      <c r="E230" s="47" t="s">
        <v>60</v>
      </c>
      <c r="F230" s="48" t="n">
        <v>160687.41</v>
      </c>
      <c r="G230" s="47" t="s">
        <v>65</v>
      </c>
      <c r="H230" s="47" t="s">
        <v>44</v>
      </c>
      <c r="I230" s="47" t="s">
        <v>80</v>
      </c>
      <c r="J230" s="47" t="s">
        <v>28</v>
      </c>
      <c r="K230" s="47" t="s">
        <v>33</v>
      </c>
    </row>
    <row r="231" customFormat="false" ht="15" hidden="false" customHeight="false" outlineLevel="0" collapsed="false">
      <c r="A231" s="0" t="s">
        <v>568</v>
      </c>
      <c r="B231" s="0" t="s">
        <v>569</v>
      </c>
      <c r="D231" s="46" t="n">
        <v>46026</v>
      </c>
      <c r="E231" s="47" t="s">
        <v>60</v>
      </c>
      <c r="F231" s="48" t="n">
        <v>63987.79</v>
      </c>
      <c r="G231" s="47" t="s">
        <v>65</v>
      </c>
      <c r="H231" s="47" t="s">
        <v>43</v>
      </c>
      <c r="I231" s="47" t="s">
        <v>201</v>
      </c>
      <c r="J231" s="47" t="s">
        <v>28</v>
      </c>
      <c r="K231" s="47" t="s">
        <v>33</v>
      </c>
    </row>
    <row r="232" customFormat="false" ht="15" hidden="false" customHeight="false" outlineLevel="0" collapsed="false">
      <c r="A232" s="0" t="s">
        <v>570</v>
      </c>
      <c r="B232" s="0" t="s">
        <v>571</v>
      </c>
      <c r="D232" s="46" t="n">
        <v>45889</v>
      </c>
      <c r="E232" s="47" t="s">
        <v>61</v>
      </c>
      <c r="F232" s="48" t="n">
        <v>126288.01</v>
      </c>
      <c r="G232" s="47" t="s">
        <v>65</v>
      </c>
      <c r="H232" s="47" t="s">
        <v>43</v>
      </c>
      <c r="I232" s="47" t="s">
        <v>201</v>
      </c>
      <c r="J232" s="47" t="s">
        <v>30</v>
      </c>
      <c r="K232" s="47" t="s">
        <v>34</v>
      </c>
    </row>
    <row r="233" customFormat="false" ht="15" hidden="false" customHeight="false" outlineLevel="0" collapsed="false">
      <c r="A233" s="0" t="s">
        <v>572</v>
      </c>
      <c r="B233" s="0" t="s">
        <v>428</v>
      </c>
      <c r="D233" s="46" t="n">
        <v>46028</v>
      </c>
      <c r="E233" s="47" t="s">
        <v>62</v>
      </c>
      <c r="F233" s="48" t="n">
        <v>65499.67</v>
      </c>
      <c r="G233" s="47" t="s">
        <v>68</v>
      </c>
      <c r="H233" s="47" t="s">
        <v>40</v>
      </c>
      <c r="I233" s="47" t="s">
        <v>83</v>
      </c>
      <c r="J233" s="47" t="s">
        <v>28</v>
      </c>
      <c r="K233" s="47" t="s">
        <v>34</v>
      </c>
    </row>
    <row r="234" customFormat="false" ht="15" hidden="false" customHeight="false" outlineLevel="0" collapsed="false">
      <c r="A234" s="0" t="s">
        <v>573</v>
      </c>
      <c r="B234" s="0" t="s">
        <v>241</v>
      </c>
      <c r="D234" s="46" t="n">
        <v>45756</v>
      </c>
      <c r="E234" s="47" t="s">
        <v>61</v>
      </c>
      <c r="F234" s="48" t="n">
        <v>164700.31</v>
      </c>
      <c r="G234" s="47" t="s">
        <v>65</v>
      </c>
      <c r="H234" s="47" t="s">
        <v>46</v>
      </c>
      <c r="I234" s="47" t="s">
        <v>242</v>
      </c>
      <c r="J234" s="47" t="s">
        <v>28</v>
      </c>
      <c r="K234" s="47" t="s">
        <v>34</v>
      </c>
    </row>
    <row r="235" customFormat="false" ht="15" hidden="false" customHeight="false" outlineLevel="0" collapsed="false">
      <c r="A235" s="0" t="s">
        <v>574</v>
      </c>
      <c r="B235" s="0" t="s">
        <v>575</v>
      </c>
      <c r="D235" s="46" t="n">
        <v>46265</v>
      </c>
      <c r="E235" s="47" t="s">
        <v>61</v>
      </c>
      <c r="F235" s="48" t="n">
        <v>133177.1</v>
      </c>
      <c r="G235" s="47" t="s">
        <v>66</v>
      </c>
      <c r="H235" s="47" t="s">
        <v>45</v>
      </c>
      <c r="I235" s="47" t="s">
        <v>217</v>
      </c>
      <c r="J235" s="47" t="s">
        <v>28</v>
      </c>
      <c r="K235" s="47" t="s">
        <v>33</v>
      </c>
    </row>
    <row r="236" customFormat="false" ht="15" hidden="false" customHeight="false" outlineLevel="0" collapsed="false">
      <c r="A236" s="0" t="s">
        <v>576</v>
      </c>
      <c r="B236" s="0" t="s">
        <v>577</v>
      </c>
      <c r="C236" s="0" t="s">
        <v>578</v>
      </c>
      <c r="D236" s="46" t="n">
        <v>45758</v>
      </c>
      <c r="E236" s="47" t="s">
        <v>55</v>
      </c>
      <c r="F236" s="48" t="n">
        <v>143821.62</v>
      </c>
      <c r="G236" s="47" t="s">
        <v>57</v>
      </c>
      <c r="H236" s="47" t="s">
        <v>40</v>
      </c>
      <c r="I236" s="47" t="s">
        <v>253</v>
      </c>
      <c r="J236" s="47" t="s">
        <v>28</v>
      </c>
      <c r="K236" s="47" t="s">
        <v>33</v>
      </c>
    </row>
    <row r="237" customFormat="false" ht="15" hidden="false" customHeight="false" outlineLevel="0" collapsed="false">
      <c r="A237" s="0" t="s">
        <v>579</v>
      </c>
      <c r="B237" s="0" t="s">
        <v>373</v>
      </c>
      <c r="C237" s="0" t="s">
        <v>580</v>
      </c>
      <c r="D237" s="46" t="n">
        <v>45840</v>
      </c>
      <c r="E237" s="47" t="s">
        <v>62</v>
      </c>
      <c r="F237" s="48" t="n">
        <v>184197.37</v>
      </c>
      <c r="G237" s="47" t="s">
        <v>68</v>
      </c>
      <c r="H237" s="47" t="s">
        <v>43</v>
      </c>
      <c r="I237" s="47" t="s">
        <v>102</v>
      </c>
      <c r="J237" s="47" t="s">
        <v>28</v>
      </c>
      <c r="K237" s="47" t="s">
        <v>33</v>
      </c>
    </row>
    <row r="238" customFormat="false" ht="15" hidden="false" customHeight="false" outlineLevel="0" collapsed="false">
      <c r="A238" s="0" t="s">
        <v>581</v>
      </c>
      <c r="B238" s="0" t="s">
        <v>582</v>
      </c>
      <c r="C238" s="0" t="s">
        <v>583</v>
      </c>
      <c r="D238" s="46" t="n">
        <v>45919</v>
      </c>
      <c r="E238" s="47" t="s">
        <v>55</v>
      </c>
      <c r="F238" s="48" t="n">
        <v>82418.77</v>
      </c>
      <c r="G238" s="47" t="s">
        <v>68</v>
      </c>
      <c r="H238" s="47" t="s">
        <v>48</v>
      </c>
      <c r="I238" s="47" t="s">
        <v>114</v>
      </c>
      <c r="J238" s="47" t="s">
        <v>28</v>
      </c>
      <c r="K238" s="47" t="s">
        <v>34</v>
      </c>
    </row>
    <row r="239" customFormat="false" ht="15" hidden="false" customHeight="false" outlineLevel="0" collapsed="false">
      <c r="A239" s="0" t="s">
        <v>584</v>
      </c>
      <c r="B239" s="0" t="s">
        <v>585</v>
      </c>
      <c r="C239" s="0" t="s">
        <v>586</v>
      </c>
      <c r="D239" s="46" t="n">
        <v>46072</v>
      </c>
      <c r="E239" s="47" t="s">
        <v>55</v>
      </c>
      <c r="F239" s="48" t="n">
        <v>13069.38</v>
      </c>
      <c r="G239" s="47" t="s">
        <v>65</v>
      </c>
      <c r="H239" s="47" t="s">
        <v>41</v>
      </c>
      <c r="I239" s="47" t="s">
        <v>293</v>
      </c>
      <c r="J239" s="47" t="s">
        <v>28</v>
      </c>
      <c r="K239" s="47" t="s">
        <v>34</v>
      </c>
    </row>
    <row r="240" customFormat="false" ht="15" hidden="false" customHeight="false" outlineLevel="0" collapsed="false">
      <c r="A240" s="0" t="s">
        <v>587</v>
      </c>
      <c r="B240" s="0" t="s">
        <v>588</v>
      </c>
      <c r="D240" s="46" t="n">
        <v>45985</v>
      </c>
      <c r="E240" s="47" t="s">
        <v>60</v>
      </c>
      <c r="F240" s="48" t="n">
        <v>4477.05</v>
      </c>
      <c r="G240" s="47" t="s">
        <v>65</v>
      </c>
      <c r="H240" s="47" t="s">
        <v>43</v>
      </c>
      <c r="I240" s="47" t="s">
        <v>201</v>
      </c>
      <c r="J240" s="47" t="s">
        <v>28</v>
      </c>
      <c r="K240" s="47" t="s">
        <v>33</v>
      </c>
    </row>
    <row r="241" customFormat="false" ht="15" hidden="false" customHeight="false" outlineLevel="0" collapsed="false">
      <c r="A241" s="0" t="s">
        <v>589</v>
      </c>
      <c r="B241" s="0" t="s">
        <v>590</v>
      </c>
      <c r="C241" s="0" t="s">
        <v>591</v>
      </c>
      <c r="D241" s="46" t="n">
        <v>46208</v>
      </c>
      <c r="E241" s="47" t="s">
        <v>53</v>
      </c>
      <c r="F241" s="48" t="n">
        <v>21453.69</v>
      </c>
      <c r="G241" s="47" t="s">
        <v>68</v>
      </c>
      <c r="H241" s="47" t="s">
        <v>44</v>
      </c>
      <c r="I241" s="47" t="s">
        <v>226</v>
      </c>
      <c r="J241" s="47" t="s">
        <v>28</v>
      </c>
      <c r="K241" s="47" t="s">
        <v>33</v>
      </c>
    </row>
    <row r="242" customFormat="false" ht="15" hidden="false" customHeight="false" outlineLevel="0" collapsed="false">
      <c r="A242" s="0" t="s">
        <v>592</v>
      </c>
      <c r="B242" s="0" t="s">
        <v>593</v>
      </c>
      <c r="D242" s="46" t="n">
        <v>45784</v>
      </c>
      <c r="E242" s="47" t="s">
        <v>59</v>
      </c>
      <c r="F242" s="48" t="n">
        <v>174892.01</v>
      </c>
      <c r="G242" s="47" t="s">
        <v>57</v>
      </c>
      <c r="H242" s="47" t="s">
        <v>43</v>
      </c>
      <c r="I242" s="47" t="s">
        <v>102</v>
      </c>
      <c r="J242" s="47" t="s">
        <v>28</v>
      </c>
      <c r="K242" s="47" t="s">
        <v>33</v>
      </c>
    </row>
    <row r="243" customFormat="false" ht="15" hidden="false" customHeight="false" outlineLevel="0" collapsed="false">
      <c r="A243" s="0" t="s">
        <v>594</v>
      </c>
      <c r="B243" s="0" t="s">
        <v>595</v>
      </c>
      <c r="D243" s="46" t="n">
        <v>45727</v>
      </c>
      <c r="E243" s="47" t="s">
        <v>55</v>
      </c>
      <c r="F243" s="48" t="n">
        <v>108867.33</v>
      </c>
      <c r="G243" s="47" t="s">
        <v>57</v>
      </c>
      <c r="H243" s="47" t="s">
        <v>48</v>
      </c>
      <c r="I243" s="47" t="s">
        <v>212</v>
      </c>
      <c r="J243" s="47" t="s">
        <v>28</v>
      </c>
      <c r="K243" s="47" t="s">
        <v>34</v>
      </c>
    </row>
    <row r="244" customFormat="false" ht="15" hidden="false" customHeight="false" outlineLevel="0" collapsed="false">
      <c r="A244" s="0" t="s">
        <v>596</v>
      </c>
      <c r="B244" s="0" t="s">
        <v>597</v>
      </c>
      <c r="D244" s="46" t="n">
        <v>46079</v>
      </c>
      <c r="E244" s="47" t="s">
        <v>59</v>
      </c>
      <c r="F244" s="48" t="n">
        <v>113964.46</v>
      </c>
      <c r="G244" s="47" t="s">
        <v>65</v>
      </c>
      <c r="H244" s="47" t="s">
        <v>39</v>
      </c>
      <c r="I244" s="47" t="s">
        <v>98</v>
      </c>
      <c r="J244" s="47" t="s">
        <v>28</v>
      </c>
      <c r="K244" s="47" t="s">
        <v>34</v>
      </c>
    </row>
    <row r="245" customFormat="false" ht="15" hidden="false" customHeight="false" outlineLevel="0" collapsed="false">
      <c r="A245" s="0" t="s">
        <v>598</v>
      </c>
      <c r="B245" s="0" t="s">
        <v>599</v>
      </c>
      <c r="C245" s="0" t="s">
        <v>600</v>
      </c>
      <c r="D245" s="46" t="n">
        <v>46199</v>
      </c>
      <c r="E245" s="47" t="s">
        <v>58</v>
      </c>
      <c r="F245" s="48" t="n">
        <v>199030.65</v>
      </c>
      <c r="G245" s="47" t="s">
        <v>66</v>
      </c>
      <c r="H245" s="47" t="s">
        <v>46</v>
      </c>
      <c r="I245" s="47" t="s">
        <v>121</v>
      </c>
      <c r="J245" s="47" t="s">
        <v>28</v>
      </c>
      <c r="K245" s="47" t="s">
        <v>34</v>
      </c>
    </row>
    <row r="246" customFormat="false" ht="15" hidden="false" customHeight="false" outlineLevel="0" collapsed="false">
      <c r="A246" s="0" t="s">
        <v>601</v>
      </c>
      <c r="B246" s="0" t="s">
        <v>255</v>
      </c>
      <c r="D246" s="46" t="n">
        <v>46050</v>
      </c>
      <c r="E246" s="47" t="s">
        <v>59</v>
      </c>
      <c r="F246" s="48" t="n">
        <v>30644</v>
      </c>
      <c r="G246" s="47" t="s">
        <v>57</v>
      </c>
      <c r="H246" s="47" t="s">
        <v>47</v>
      </c>
      <c r="I246" s="47" t="s">
        <v>166</v>
      </c>
      <c r="J246" s="47" t="s">
        <v>29</v>
      </c>
      <c r="K246" s="47" t="s">
        <v>34</v>
      </c>
    </row>
    <row r="247" customFormat="false" ht="15" hidden="false" customHeight="false" outlineLevel="0" collapsed="false">
      <c r="A247" s="0" t="s">
        <v>602</v>
      </c>
      <c r="B247" s="0" t="s">
        <v>603</v>
      </c>
      <c r="D247" s="46" t="n">
        <v>46126</v>
      </c>
      <c r="E247" s="47" t="s">
        <v>55</v>
      </c>
      <c r="F247" s="48" t="n">
        <v>184855.25</v>
      </c>
      <c r="G247" s="47" t="s">
        <v>66</v>
      </c>
      <c r="H247" s="47" t="s">
        <v>44</v>
      </c>
      <c r="I247" s="47" t="s">
        <v>132</v>
      </c>
      <c r="J247" s="47" t="s">
        <v>28</v>
      </c>
      <c r="K247" s="47" t="s">
        <v>34</v>
      </c>
    </row>
    <row r="248" customFormat="false" ht="15" hidden="false" customHeight="false" outlineLevel="0" collapsed="false">
      <c r="A248" s="0" t="s">
        <v>604</v>
      </c>
      <c r="B248" s="0" t="s">
        <v>304</v>
      </c>
      <c r="D248" s="46" t="n">
        <v>45743</v>
      </c>
      <c r="E248" s="47" t="s">
        <v>53</v>
      </c>
      <c r="F248" s="48" t="n">
        <v>199477.53</v>
      </c>
      <c r="G248" s="47" t="s">
        <v>53</v>
      </c>
      <c r="H248" s="47" t="s">
        <v>39</v>
      </c>
      <c r="I248" s="47" t="s">
        <v>177</v>
      </c>
      <c r="J248" s="47" t="s">
        <v>28</v>
      </c>
      <c r="K248" s="47" t="s">
        <v>34</v>
      </c>
    </row>
    <row r="249" customFormat="false" ht="15" hidden="false" customHeight="false" outlineLevel="0" collapsed="false">
      <c r="A249" s="0" t="s">
        <v>605</v>
      </c>
      <c r="B249" s="0" t="s">
        <v>606</v>
      </c>
      <c r="D249" s="46" t="n">
        <v>45911</v>
      </c>
      <c r="E249" s="47" t="s">
        <v>59</v>
      </c>
      <c r="F249" s="48" t="n">
        <v>70131</v>
      </c>
      <c r="G249" s="47" t="s">
        <v>66</v>
      </c>
      <c r="H249" s="47" t="s">
        <v>45</v>
      </c>
      <c r="I249" s="47" t="s">
        <v>95</v>
      </c>
      <c r="J249" s="47" t="s">
        <v>28</v>
      </c>
      <c r="K249" s="47" t="s">
        <v>33</v>
      </c>
    </row>
    <row r="250" customFormat="false" ht="15" hidden="false" customHeight="false" outlineLevel="0" collapsed="false">
      <c r="A250" s="0" t="s">
        <v>607</v>
      </c>
      <c r="B250" s="0" t="s">
        <v>150</v>
      </c>
      <c r="D250" s="46" t="n">
        <v>46251</v>
      </c>
      <c r="E250" s="47" t="s">
        <v>60</v>
      </c>
      <c r="F250" s="48" t="n">
        <v>179154.52</v>
      </c>
      <c r="G250" s="47" t="s">
        <v>65</v>
      </c>
      <c r="H250" s="47" t="s">
        <v>45</v>
      </c>
      <c r="I250" s="47" t="s">
        <v>151</v>
      </c>
      <c r="J250" s="47" t="s">
        <v>30</v>
      </c>
      <c r="K250" s="47" t="s">
        <v>33</v>
      </c>
    </row>
    <row r="251" customFormat="false" ht="15" hidden="false" customHeight="false" outlineLevel="0" collapsed="false">
      <c r="A251" s="0" t="s">
        <v>608</v>
      </c>
      <c r="B251" s="0" t="s">
        <v>468</v>
      </c>
      <c r="C251" s="0" t="s">
        <v>609</v>
      </c>
      <c r="D251" s="46" t="n">
        <v>45968</v>
      </c>
      <c r="E251" s="47" t="s">
        <v>53</v>
      </c>
      <c r="F251" s="48" t="n">
        <v>67743.83</v>
      </c>
      <c r="G251" s="47" t="s">
        <v>57</v>
      </c>
      <c r="H251" s="47" t="s">
        <v>40</v>
      </c>
      <c r="I251" s="47" t="s">
        <v>83</v>
      </c>
      <c r="J251" s="47" t="s">
        <v>28</v>
      </c>
      <c r="K251" s="47" t="s">
        <v>34</v>
      </c>
    </row>
    <row r="252" customFormat="false" ht="15" hidden="false" customHeight="false" outlineLevel="0" collapsed="false">
      <c r="A252" s="0" t="s">
        <v>610</v>
      </c>
      <c r="B252" s="0" t="s">
        <v>611</v>
      </c>
      <c r="D252" s="46" t="n">
        <v>45690</v>
      </c>
      <c r="E252" s="47" t="s">
        <v>61</v>
      </c>
      <c r="F252" s="48" t="n">
        <v>162586.51</v>
      </c>
      <c r="G252" s="47" t="s">
        <v>66</v>
      </c>
      <c r="H252" s="47" t="s">
        <v>48</v>
      </c>
      <c r="I252" s="47" t="s">
        <v>111</v>
      </c>
      <c r="J252" s="47" t="s">
        <v>28</v>
      </c>
      <c r="K252" s="47" t="s">
        <v>34</v>
      </c>
    </row>
    <row r="253" customFormat="false" ht="15" hidden="false" customHeight="false" outlineLevel="0" collapsed="false">
      <c r="A253" s="0" t="s">
        <v>612</v>
      </c>
      <c r="B253" s="0" t="s">
        <v>613</v>
      </c>
      <c r="D253" s="46" t="n">
        <v>45923</v>
      </c>
      <c r="E253" s="47" t="s">
        <v>59</v>
      </c>
      <c r="F253" s="48" t="n">
        <v>103199.58</v>
      </c>
      <c r="G253" s="47" t="s">
        <v>65</v>
      </c>
      <c r="H253" s="47" t="s">
        <v>44</v>
      </c>
      <c r="I253" s="47" t="s">
        <v>80</v>
      </c>
      <c r="J253" s="47" t="s">
        <v>28</v>
      </c>
      <c r="K253" s="47" t="s">
        <v>34</v>
      </c>
    </row>
    <row r="254" customFormat="false" ht="15" hidden="false" customHeight="false" outlineLevel="0" collapsed="false">
      <c r="A254" s="0" t="s">
        <v>614</v>
      </c>
      <c r="B254" s="0" t="s">
        <v>615</v>
      </c>
      <c r="D254" s="46" t="n">
        <v>45960</v>
      </c>
      <c r="E254" s="47" t="s">
        <v>55</v>
      </c>
      <c r="F254" s="48" t="n">
        <v>22839.93</v>
      </c>
      <c r="G254" s="47" t="s">
        <v>65</v>
      </c>
      <c r="H254" s="47" t="s">
        <v>40</v>
      </c>
      <c r="I254" s="47" t="s">
        <v>253</v>
      </c>
      <c r="J254" s="47" t="s">
        <v>28</v>
      </c>
      <c r="K254" s="47" t="s">
        <v>33</v>
      </c>
    </row>
    <row r="255" customFormat="false" ht="15" hidden="false" customHeight="false" outlineLevel="0" collapsed="false">
      <c r="A255" s="0" t="s">
        <v>616</v>
      </c>
      <c r="B255" s="0" t="s">
        <v>617</v>
      </c>
      <c r="D255" s="46" t="n">
        <v>46123</v>
      </c>
      <c r="E255" s="47" t="s">
        <v>60</v>
      </c>
      <c r="F255" s="48" t="n">
        <v>98036.99</v>
      </c>
      <c r="G255" s="47" t="s">
        <v>68</v>
      </c>
      <c r="H255" s="47" t="s">
        <v>48</v>
      </c>
      <c r="I255" s="47" t="s">
        <v>111</v>
      </c>
      <c r="J255" s="47" t="s">
        <v>28</v>
      </c>
      <c r="K255" s="47" t="s">
        <v>34</v>
      </c>
    </row>
    <row r="256" customFormat="false" ht="15" hidden="false" customHeight="false" outlineLevel="0" collapsed="false">
      <c r="A256" s="0" t="s">
        <v>618</v>
      </c>
      <c r="B256" s="0" t="s">
        <v>619</v>
      </c>
      <c r="D256" s="46" t="n">
        <v>45760</v>
      </c>
      <c r="E256" s="47" t="s">
        <v>53</v>
      </c>
      <c r="F256" s="48" t="n">
        <v>152307.61</v>
      </c>
      <c r="G256" s="47" t="s">
        <v>65</v>
      </c>
      <c r="H256" s="47" t="s">
        <v>43</v>
      </c>
      <c r="I256" s="47" t="s">
        <v>117</v>
      </c>
      <c r="J256" s="47" t="s">
        <v>28</v>
      </c>
      <c r="K256" s="47" t="s">
        <v>33</v>
      </c>
    </row>
    <row r="257" customFormat="false" ht="15" hidden="false" customHeight="false" outlineLevel="0" collapsed="false">
      <c r="A257" s="0" t="s">
        <v>620</v>
      </c>
      <c r="B257" s="0" t="s">
        <v>621</v>
      </c>
      <c r="D257" s="46" t="n">
        <v>45766</v>
      </c>
      <c r="E257" s="47" t="s">
        <v>60</v>
      </c>
      <c r="F257" s="48" t="n">
        <v>196605.35</v>
      </c>
      <c r="G257" s="47" t="s">
        <v>68</v>
      </c>
      <c r="H257" s="47" t="s">
        <v>44</v>
      </c>
      <c r="I257" s="47" t="s">
        <v>226</v>
      </c>
      <c r="J257" s="47" t="s">
        <v>28</v>
      </c>
      <c r="K257" s="47" t="s">
        <v>34</v>
      </c>
    </row>
    <row r="258" customFormat="false" ht="15" hidden="false" customHeight="false" outlineLevel="0" collapsed="false">
      <c r="A258" s="0" t="s">
        <v>622</v>
      </c>
      <c r="B258" s="0" t="s">
        <v>623</v>
      </c>
      <c r="D258" s="46" t="n">
        <v>45931</v>
      </c>
      <c r="E258" s="47" t="s">
        <v>55</v>
      </c>
      <c r="F258" s="48" t="n">
        <v>126064.25</v>
      </c>
      <c r="G258" s="47" t="s">
        <v>68</v>
      </c>
      <c r="H258" s="47" t="s">
        <v>40</v>
      </c>
      <c r="I258" s="47" t="s">
        <v>89</v>
      </c>
      <c r="J258" s="47" t="s">
        <v>28</v>
      </c>
      <c r="K258" s="47" t="s">
        <v>34</v>
      </c>
    </row>
    <row r="259" customFormat="false" ht="15" hidden="false" customHeight="false" outlineLevel="0" collapsed="false">
      <c r="A259" s="0" t="s">
        <v>624</v>
      </c>
      <c r="B259" s="0" t="s">
        <v>625</v>
      </c>
      <c r="D259" s="46" t="n">
        <v>45990</v>
      </c>
      <c r="E259" s="47" t="s">
        <v>62</v>
      </c>
      <c r="F259" s="48" t="n">
        <v>126162.47</v>
      </c>
      <c r="G259" s="47" t="s">
        <v>68</v>
      </c>
      <c r="H259" s="47" t="s">
        <v>44</v>
      </c>
      <c r="I259" s="47" t="s">
        <v>226</v>
      </c>
      <c r="J259" s="47" t="s">
        <v>28</v>
      </c>
      <c r="K259" s="47" t="s">
        <v>33</v>
      </c>
    </row>
    <row r="260" customFormat="false" ht="15" hidden="false" customHeight="false" outlineLevel="0" collapsed="false">
      <c r="A260" s="0" t="s">
        <v>626</v>
      </c>
      <c r="B260" s="0" t="s">
        <v>593</v>
      </c>
      <c r="D260" s="46" t="n">
        <v>45873</v>
      </c>
      <c r="E260" s="47" t="s">
        <v>55</v>
      </c>
      <c r="F260" s="48" t="n">
        <v>182185.67</v>
      </c>
      <c r="G260" s="47" t="s">
        <v>57</v>
      </c>
      <c r="H260" s="47" t="s">
        <v>43</v>
      </c>
      <c r="I260" s="47" t="s">
        <v>102</v>
      </c>
      <c r="J260" s="47" t="s">
        <v>28</v>
      </c>
      <c r="K260" s="47" t="s">
        <v>33</v>
      </c>
    </row>
    <row r="261" customFormat="false" ht="15" hidden="false" customHeight="false" outlineLevel="0" collapsed="false">
      <c r="A261" s="0" t="s">
        <v>627</v>
      </c>
      <c r="B261" s="0" t="s">
        <v>417</v>
      </c>
      <c r="D261" s="46" t="n">
        <v>45801</v>
      </c>
      <c r="E261" s="47" t="s">
        <v>61</v>
      </c>
      <c r="F261" s="48" t="n">
        <v>24845.25</v>
      </c>
      <c r="G261" s="47" t="s">
        <v>53</v>
      </c>
      <c r="H261" s="47" t="s">
        <v>39</v>
      </c>
      <c r="I261" s="47" t="s">
        <v>145</v>
      </c>
      <c r="J261" s="47" t="s">
        <v>29</v>
      </c>
      <c r="K261" s="47" t="s">
        <v>34</v>
      </c>
    </row>
    <row r="262" customFormat="false" ht="15" hidden="false" customHeight="false" outlineLevel="0" collapsed="false">
      <c r="A262" s="0" t="s">
        <v>628</v>
      </c>
      <c r="B262" s="0" t="s">
        <v>629</v>
      </c>
      <c r="D262" s="46" t="n">
        <v>46042</v>
      </c>
      <c r="E262" s="47" t="s">
        <v>53</v>
      </c>
      <c r="F262" s="48" t="n">
        <v>79531.81</v>
      </c>
      <c r="G262" s="47" t="s">
        <v>53</v>
      </c>
      <c r="H262" s="47" t="s">
        <v>41</v>
      </c>
      <c r="I262" s="47" t="s">
        <v>293</v>
      </c>
      <c r="J262" s="47" t="s">
        <v>28</v>
      </c>
      <c r="K262" s="47" t="s">
        <v>33</v>
      </c>
    </row>
    <row r="263" customFormat="false" ht="15" hidden="false" customHeight="false" outlineLevel="0" collapsed="false">
      <c r="A263" s="0" t="s">
        <v>630</v>
      </c>
      <c r="B263" s="0" t="s">
        <v>631</v>
      </c>
      <c r="C263" s="0" t="s">
        <v>632</v>
      </c>
      <c r="D263" s="46" t="n">
        <v>45823</v>
      </c>
      <c r="E263" s="47" t="s">
        <v>62</v>
      </c>
      <c r="F263" s="48" t="n">
        <v>164651.77</v>
      </c>
      <c r="G263" s="47" t="s">
        <v>66</v>
      </c>
      <c r="H263" s="47" t="s">
        <v>43</v>
      </c>
      <c r="I263" s="47" t="s">
        <v>201</v>
      </c>
      <c r="J263" s="47" t="s">
        <v>28</v>
      </c>
      <c r="K263" s="47" t="s">
        <v>34</v>
      </c>
    </row>
    <row r="264" customFormat="false" ht="15" hidden="false" customHeight="false" outlineLevel="0" collapsed="false">
      <c r="A264" s="0" t="s">
        <v>633</v>
      </c>
      <c r="B264" s="0" t="s">
        <v>634</v>
      </c>
      <c r="D264" s="46" t="n">
        <v>46188</v>
      </c>
      <c r="E264" s="47" t="s">
        <v>60</v>
      </c>
      <c r="F264" s="48" t="n">
        <v>150539.92</v>
      </c>
      <c r="G264" s="47" t="s">
        <v>68</v>
      </c>
      <c r="H264" s="47" t="s">
        <v>44</v>
      </c>
      <c r="I264" s="47" t="s">
        <v>132</v>
      </c>
      <c r="J264" s="47" t="s">
        <v>28</v>
      </c>
      <c r="K264" s="47" t="s">
        <v>33</v>
      </c>
    </row>
    <row r="265" customFormat="false" ht="15" hidden="false" customHeight="false" outlineLevel="0" collapsed="false">
      <c r="A265" s="0" t="s">
        <v>635</v>
      </c>
      <c r="B265" s="0" t="s">
        <v>79</v>
      </c>
      <c r="D265" s="46" t="n">
        <v>46135</v>
      </c>
      <c r="E265" s="47" t="s">
        <v>62</v>
      </c>
      <c r="F265" s="48" t="n">
        <v>5236.47</v>
      </c>
      <c r="G265" s="47" t="s">
        <v>68</v>
      </c>
      <c r="H265" s="47" t="s">
        <v>44</v>
      </c>
      <c r="I265" s="47" t="s">
        <v>80</v>
      </c>
      <c r="J265" s="47" t="s">
        <v>28</v>
      </c>
      <c r="K265" s="47" t="s">
        <v>33</v>
      </c>
    </row>
    <row r="266" customFormat="false" ht="15" hidden="false" customHeight="false" outlineLevel="0" collapsed="false">
      <c r="A266" s="0" t="s">
        <v>636</v>
      </c>
      <c r="B266" s="0" t="s">
        <v>637</v>
      </c>
      <c r="D266" s="46" t="n">
        <v>45800</v>
      </c>
      <c r="E266" s="47" t="s">
        <v>55</v>
      </c>
      <c r="F266" s="48" t="n">
        <v>137764.41</v>
      </c>
      <c r="G266" s="47" t="s">
        <v>65</v>
      </c>
      <c r="H266" s="47" t="s">
        <v>42</v>
      </c>
      <c r="I266" s="47" t="s">
        <v>398</v>
      </c>
      <c r="J266" s="47" t="s">
        <v>29</v>
      </c>
      <c r="K266" s="47" t="s">
        <v>33</v>
      </c>
    </row>
    <row r="267" customFormat="false" ht="15" hidden="false" customHeight="false" outlineLevel="0" collapsed="false">
      <c r="A267" s="0" t="s">
        <v>638</v>
      </c>
      <c r="B267" s="0" t="s">
        <v>639</v>
      </c>
      <c r="C267" s="0" t="s">
        <v>640</v>
      </c>
      <c r="D267" s="46" t="n">
        <v>46137</v>
      </c>
      <c r="E267" s="47" t="s">
        <v>61</v>
      </c>
      <c r="F267" s="48" t="n">
        <v>8025.13</v>
      </c>
      <c r="G267" s="47" t="s">
        <v>68</v>
      </c>
      <c r="H267" s="47" t="s">
        <v>45</v>
      </c>
      <c r="I267" s="47" t="s">
        <v>95</v>
      </c>
      <c r="J267" s="47" t="s">
        <v>29</v>
      </c>
      <c r="K267" s="47" t="s">
        <v>34</v>
      </c>
    </row>
    <row r="268" customFormat="false" ht="15" hidden="false" customHeight="false" outlineLevel="0" collapsed="false">
      <c r="A268" s="0" t="s">
        <v>641</v>
      </c>
      <c r="B268" s="0" t="s">
        <v>642</v>
      </c>
      <c r="D268" s="46" t="n">
        <v>45814</v>
      </c>
      <c r="E268" s="47" t="s">
        <v>53</v>
      </c>
      <c r="F268" s="48" t="n">
        <v>116034.62</v>
      </c>
      <c r="G268" s="47" t="s">
        <v>57</v>
      </c>
      <c r="H268" s="47" t="s">
        <v>43</v>
      </c>
      <c r="I268" s="47" t="s">
        <v>102</v>
      </c>
      <c r="J268" s="47" t="s">
        <v>28</v>
      </c>
      <c r="K268" s="47" t="s">
        <v>33</v>
      </c>
    </row>
    <row r="269" customFormat="false" ht="15" hidden="false" customHeight="false" outlineLevel="0" collapsed="false">
      <c r="A269" s="0" t="s">
        <v>643</v>
      </c>
      <c r="B269" s="0" t="s">
        <v>615</v>
      </c>
      <c r="D269" s="46" t="n">
        <v>45734</v>
      </c>
      <c r="E269" s="47" t="s">
        <v>60</v>
      </c>
      <c r="F269" s="48" t="n">
        <v>4241.02</v>
      </c>
      <c r="G269" s="47" t="s">
        <v>68</v>
      </c>
      <c r="H269" s="47" t="s">
        <v>40</v>
      </c>
      <c r="I269" s="47" t="s">
        <v>253</v>
      </c>
      <c r="J269" s="47" t="s">
        <v>28</v>
      </c>
      <c r="K269" s="47" t="s">
        <v>34</v>
      </c>
    </row>
    <row r="270" customFormat="false" ht="15" hidden="false" customHeight="false" outlineLevel="0" collapsed="false">
      <c r="A270" s="0" t="s">
        <v>644</v>
      </c>
      <c r="B270" s="0" t="s">
        <v>645</v>
      </c>
      <c r="D270" s="46" t="n">
        <v>45842</v>
      </c>
      <c r="E270" s="47" t="s">
        <v>60</v>
      </c>
      <c r="F270" s="48" t="n">
        <v>184226</v>
      </c>
      <c r="G270" s="47" t="s">
        <v>68</v>
      </c>
      <c r="H270" s="47" t="s">
        <v>43</v>
      </c>
      <c r="I270" s="47" t="s">
        <v>201</v>
      </c>
      <c r="J270" s="47" t="s">
        <v>28</v>
      </c>
      <c r="K270" s="47" t="s">
        <v>33</v>
      </c>
    </row>
    <row r="271" customFormat="false" ht="15" hidden="false" customHeight="false" outlineLevel="0" collapsed="false">
      <c r="A271" s="0" t="s">
        <v>646</v>
      </c>
      <c r="B271" s="0" t="s">
        <v>647</v>
      </c>
      <c r="D271" s="46" t="n">
        <v>45897</v>
      </c>
      <c r="E271" s="47" t="s">
        <v>62</v>
      </c>
      <c r="F271" s="48" t="n">
        <v>90406.47</v>
      </c>
      <c r="G271" s="47" t="s">
        <v>65</v>
      </c>
      <c r="H271" s="47" t="s">
        <v>40</v>
      </c>
      <c r="I271" s="47" t="s">
        <v>253</v>
      </c>
      <c r="J271" s="47" t="s">
        <v>28</v>
      </c>
      <c r="K271" s="47" t="s">
        <v>34</v>
      </c>
    </row>
    <row r="272" customFormat="false" ht="15" hidden="false" customHeight="false" outlineLevel="0" collapsed="false">
      <c r="A272" s="0" t="s">
        <v>648</v>
      </c>
      <c r="B272" s="0" t="s">
        <v>197</v>
      </c>
      <c r="D272" s="46" t="n">
        <v>46244</v>
      </c>
      <c r="E272" s="47" t="s">
        <v>59</v>
      </c>
      <c r="F272" s="48" t="n">
        <v>58187.41</v>
      </c>
      <c r="G272" s="47" t="s">
        <v>65</v>
      </c>
      <c r="H272" s="47" t="s">
        <v>44</v>
      </c>
      <c r="I272" s="47" t="s">
        <v>80</v>
      </c>
      <c r="J272" s="47" t="s">
        <v>28</v>
      </c>
      <c r="K272" s="47" t="s">
        <v>34</v>
      </c>
    </row>
    <row r="273" customFormat="false" ht="15" hidden="false" customHeight="false" outlineLevel="0" collapsed="false">
      <c r="A273" s="0" t="s">
        <v>649</v>
      </c>
      <c r="B273" s="0" t="s">
        <v>426</v>
      </c>
      <c r="D273" s="46" t="n">
        <v>45865</v>
      </c>
      <c r="E273" s="47" t="s">
        <v>55</v>
      </c>
      <c r="F273" s="48" t="n">
        <v>157663.93</v>
      </c>
      <c r="G273" s="47" t="s">
        <v>65</v>
      </c>
      <c r="H273" s="47" t="s">
        <v>39</v>
      </c>
      <c r="I273" s="47" t="s">
        <v>98</v>
      </c>
      <c r="J273" s="47" t="s">
        <v>28</v>
      </c>
      <c r="K273" s="47" t="s">
        <v>33</v>
      </c>
    </row>
    <row r="274" customFormat="false" ht="15" hidden="false" customHeight="false" outlineLevel="0" collapsed="false">
      <c r="A274" s="0" t="s">
        <v>650</v>
      </c>
      <c r="B274" s="0" t="s">
        <v>634</v>
      </c>
      <c r="D274" s="46" t="n">
        <v>46228</v>
      </c>
      <c r="E274" s="47" t="s">
        <v>58</v>
      </c>
      <c r="F274" s="48" t="n">
        <v>78648.14</v>
      </c>
      <c r="G274" s="47" t="s">
        <v>53</v>
      </c>
      <c r="H274" s="47" t="s">
        <v>44</v>
      </c>
      <c r="I274" s="47" t="s">
        <v>132</v>
      </c>
      <c r="J274" s="47" t="s">
        <v>28</v>
      </c>
      <c r="K274" s="47" t="s">
        <v>34</v>
      </c>
    </row>
    <row r="275" customFormat="false" ht="15" hidden="false" customHeight="false" outlineLevel="0" collapsed="false">
      <c r="A275" s="0" t="s">
        <v>651</v>
      </c>
      <c r="B275" s="0" t="s">
        <v>97</v>
      </c>
      <c r="D275" s="46" t="n">
        <v>45938</v>
      </c>
      <c r="E275" s="47" t="s">
        <v>62</v>
      </c>
      <c r="F275" s="48" t="n">
        <v>43160.52</v>
      </c>
      <c r="G275" s="47" t="s">
        <v>57</v>
      </c>
      <c r="H275" s="47" t="s">
        <v>39</v>
      </c>
      <c r="I275" s="47" t="s">
        <v>98</v>
      </c>
      <c r="J275" s="47" t="s">
        <v>28</v>
      </c>
      <c r="K275" s="47" t="s">
        <v>33</v>
      </c>
    </row>
    <row r="276" customFormat="false" ht="15" hidden="false" customHeight="false" outlineLevel="0" collapsed="false">
      <c r="A276" s="0" t="s">
        <v>652</v>
      </c>
      <c r="B276" s="0" t="s">
        <v>653</v>
      </c>
      <c r="C276" s="0" t="s">
        <v>654</v>
      </c>
      <c r="D276" s="46" t="n">
        <v>46207</v>
      </c>
      <c r="E276" s="47" t="s">
        <v>62</v>
      </c>
      <c r="F276" s="48" t="n">
        <v>38893.73</v>
      </c>
      <c r="G276" s="47" t="s">
        <v>65</v>
      </c>
      <c r="H276" s="47" t="s">
        <v>46</v>
      </c>
      <c r="I276" s="47" t="s">
        <v>148</v>
      </c>
      <c r="J276" s="47" t="s">
        <v>28</v>
      </c>
      <c r="K276" s="47" t="s">
        <v>33</v>
      </c>
    </row>
    <row r="277" customFormat="false" ht="15" hidden="false" customHeight="false" outlineLevel="0" collapsed="false">
      <c r="A277" s="0" t="s">
        <v>655</v>
      </c>
      <c r="B277" s="0" t="s">
        <v>656</v>
      </c>
      <c r="D277" s="46" t="n">
        <v>45697</v>
      </c>
      <c r="E277" s="47" t="s">
        <v>53</v>
      </c>
      <c r="F277" s="48" t="n">
        <v>91764.1</v>
      </c>
      <c r="G277" s="47" t="s">
        <v>57</v>
      </c>
      <c r="H277" s="47" t="s">
        <v>45</v>
      </c>
      <c r="I277" s="47" t="s">
        <v>151</v>
      </c>
      <c r="J277" s="47" t="s">
        <v>29</v>
      </c>
      <c r="K277" s="47" t="s">
        <v>33</v>
      </c>
    </row>
    <row r="278" customFormat="false" ht="15" hidden="false" customHeight="false" outlineLevel="0" collapsed="false">
      <c r="A278" s="0" t="s">
        <v>657</v>
      </c>
      <c r="B278" s="0" t="s">
        <v>658</v>
      </c>
      <c r="D278" s="46" t="n">
        <v>45935</v>
      </c>
      <c r="E278" s="47" t="s">
        <v>59</v>
      </c>
      <c r="F278" s="48" t="n">
        <v>195365.75</v>
      </c>
      <c r="G278" s="47" t="s">
        <v>68</v>
      </c>
      <c r="H278" s="47" t="s">
        <v>45</v>
      </c>
      <c r="I278" s="47" t="s">
        <v>95</v>
      </c>
      <c r="J278" s="47" t="s">
        <v>30</v>
      </c>
      <c r="K278" s="47" t="s">
        <v>33</v>
      </c>
    </row>
    <row r="279" customFormat="false" ht="15" hidden="false" customHeight="false" outlineLevel="0" collapsed="false">
      <c r="A279" s="0" t="s">
        <v>659</v>
      </c>
      <c r="B279" s="0" t="s">
        <v>660</v>
      </c>
      <c r="D279" s="46" t="n">
        <v>46248</v>
      </c>
      <c r="E279" s="47" t="s">
        <v>60</v>
      </c>
      <c r="F279" s="48" t="n">
        <v>97730.16</v>
      </c>
      <c r="G279" s="47" t="s">
        <v>57</v>
      </c>
      <c r="H279" s="47" t="s">
        <v>40</v>
      </c>
      <c r="I279" s="47" t="s">
        <v>83</v>
      </c>
      <c r="J279" s="47" t="s">
        <v>29</v>
      </c>
      <c r="K279" s="47" t="s">
        <v>34</v>
      </c>
    </row>
    <row r="280" customFormat="false" ht="15" hidden="false" customHeight="false" outlineLevel="0" collapsed="false">
      <c r="A280" s="0" t="s">
        <v>661</v>
      </c>
      <c r="B280" s="0" t="s">
        <v>662</v>
      </c>
      <c r="D280" s="46" t="n">
        <v>45803</v>
      </c>
      <c r="E280" s="47" t="s">
        <v>59</v>
      </c>
      <c r="F280" s="48" t="n">
        <v>24057.5</v>
      </c>
      <c r="G280" s="47" t="s">
        <v>53</v>
      </c>
      <c r="H280" s="47" t="s">
        <v>45</v>
      </c>
      <c r="I280" s="47" t="s">
        <v>151</v>
      </c>
      <c r="J280" s="47" t="s">
        <v>29</v>
      </c>
      <c r="K280" s="47" t="s">
        <v>33</v>
      </c>
    </row>
    <row r="281" customFormat="false" ht="15" hidden="false" customHeight="false" outlineLevel="0" collapsed="false">
      <c r="A281" s="0" t="s">
        <v>663</v>
      </c>
      <c r="B281" s="0" t="s">
        <v>664</v>
      </c>
      <c r="D281" s="46" t="n">
        <v>46016</v>
      </c>
      <c r="E281" s="47" t="s">
        <v>60</v>
      </c>
      <c r="F281" s="48" t="n">
        <v>23420.5</v>
      </c>
      <c r="G281" s="47" t="s">
        <v>68</v>
      </c>
      <c r="H281" s="47" t="s">
        <v>43</v>
      </c>
      <c r="I281" s="47" t="s">
        <v>117</v>
      </c>
      <c r="J281" s="47" t="s">
        <v>29</v>
      </c>
      <c r="K281" s="47" t="s">
        <v>33</v>
      </c>
    </row>
    <row r="282" customFormat="false" ht="15" hidden="false" customHeight="false" outlineLevel="0" collapsed="false">
      <c r="A282" s="0" t="s">
        <v>665</v>
      </c>
      <c r="B282" s="0" t="s">
        <v>147</v>
      </c>
      <c r="C282" s="0" t="s">
        <v>666</v>
      </c>
      <c r="D282" s="46" t="n">
        <v>46104</v>
      </c>
      <c r="E282" s="47" t="s">
        <v>58</v>
      </c>
      <c r="F282" s="48" t="n">
        <v>190446.91</v>
      </c>
      <c r="G282" s="47" t="s">
        <v>68</v>
      </c>
      <c r="H282" s="47" t="s">
        <v>46</v>
      </c>
      <c r="I282" s="47" t="s">
        <v>148</v>
      </c>
      <c r="J282" s="47" t="s">
        <v>28</v>
      </c>
      <c r="K282" s="47" t="s">
        <v>34</v>
      </c>
    </row>
    <row r="283" customFormat="false" ht="15" hidden="false" customHeight="false" outlineLevel="0" collapsed="false">
      <c r="A283" s="0" t="s">
        <v>667</v>
      </c>
      <c r="B283" s="0" t="s">
        <v>502</v>
      </c>
      <c r="D283" s="46" t="n">
        <v>46295</v>
      </c>
      <c r="E283" s="47" t="s">
        <v>55</v>
      </c>
      <c r="F283" s="48" t="n">
        <v>27522.56</v>
      </c>
      <c r="G283" s="47" t="s">
        <v>53</v>
      </c>
      <c r="H283" s="47" t="s">
        <v>43</v>
      </c>
      <c r="I283" s="47" t="s">
        <v>102</v>
      </c>
      <c r="J283" s="47" t="s">
        <v>28</v>
      </c>
      <c r="K283" s="47" t="s">
        <v>34</v>
      </c>
    </row>
    <row r="284" customFormat="false" ht="15" hidden="false" customHeight="false" outlineLevel="0" collapsed="false">
      <c r="A284" s="0" t="s">
        <v>668</v>
      </c>
      <c r="B284" s="0" t="s">
        <v>669</v>
      </c>
      <c r="D284" s="46" t="n">
        <v>45805</v>
      </c>
      <c r="E284" s="47" t="s">
        <v>62</v>
      </c>
      <c r="F284" s="48" t="n">
        <v>160221.99</v>
      </c>
      <c r="G284" s="47" t="s">
        <v>53</v>
      </c>
      <c r="H284" s="47" t="s">
        <v>40</v>
      </c>
      <c r="I284" s="47" t="s">
        <v>83</v>
      </c>
      <c r="J284" s="47" t="s">
        <v>28</v>
      </c>
      <c r="K284" s="47" t="s">
        <v>33</v>
      </c>
    </row>
    <row r="285" customFormat="false" ht="15" hidden="false" customHeight="false" outlineLevel="0" collapsed="false">
      <c r="A285" s="0" t="s">
        <v>670</v>
      </c>
      <c r="B285" s="0" t="s">
        <v>671</v>
      </c>
      <c r="D285" s="46" t="n">
        <v>45819</v>
      </c>
      <c r="E285" s="47" t="s">
        <v>58</v>
      </c>
      <c r="F285" s="48" t="n">
        <v>8203.39</v>
      </c>
      <c r="G285" s="47" t="s">
        <v>53</v>
      </c>
      <c r="H285" s="47" t="s">
        <v>45</v>
      </c>
      <c r="I285" s="47" t="s">
        <v>217</v>
      </c>
      <c r="J285" s="47" t="s">
        <v>28</v>
      </c>
      <c r="K285" s="47" t="s">
        <v>34</v>
      </c>
    </row>
    <row r="286" customFormat="false" ht="15" hidden="false" customHeight="false" outlineLevel="0" collapsed="false">
      <c r="A286" s="0" t="s">
        <v>672</v>
      </c>
      <c r="B286" s="0" t="s">
        <v>344</v>
      </c>
      <c r="D286" s="46" t="n">
        <v>46003</v>
      </c>
      <c r="E286" s="47" t="s">
        <v>53</v>
      </c>
      <c r="F286" s="48" t="n">
        <v>41103.67</v>
      </c>
      <c r="G286" s="47" t="s">
        <v>57</v>
      </c>
      <c r="H286" s="47" t="s">
        <v>43</v>
      </c>
      <c r="I286" s="47" t="s">
        <v>117</v>
      </c>
      <c r="J286" s="47" t="s">
        <v>28</v>
      </c>
      <c r="K286" s="47" t="s">
        <v>34</v>
      </c>
    </row>
    <row r="287" customFormat="false" ht="15" hidden="false" customHeight="false" outlineLevel="0" collapsed="false">
      <c r="A287" s="0" t="s">
        <v>673</v>
      </c>
      <c r="B287" s="0" t="s">
        <v>674</v>
      </c>
      <c r="C287" s="0" t="s">
        <v>675</v>
      </c>
      <c r="D287" s="46" t="n">
        <v>45785</v>
      </c>
      <c r="E287" s="47" t="s">
        <v>59</v>
      </c>
      <c r="F287" s="48" t="n">
        <v>168706.23</v>
      </c>
      <c r="G287" s="47" t="s">
        <v>57</v>
      </c>
      <c r="H287" s="47" t="s">
        <v>42</v>
      </c>
      <c r="I287" s="47" t="s">
        <v>105</v>
      </c>
      <c r="J287" s="47" t="s">
        <v>28</v>
      </c>
      <c r="K287" s="47" t="s">
        <v>34</v>
      </c>
    </row>
    <row r="288" customFormat="false" ht="15" hidden="false" customHeight="false" outlineLevel="0" collapsed="false">
      <c r="A288" s="0" t="s">
        <v>676</v>
      </c>
      <c r="B288" s="0" t="s">
        <v>369</v>
      </c>
      <c r="D288" s="46" t="n">
        <v>46266</v>
      </c>
      <c r="E288" s="47" t="s">
        <v>61</v>
      </c>
      <c r="F288" s="48" t="n">
        <v>76587.44</v>
      </c>
      <c r="G288" s="47" t="s">
        <v>57</v>
      </c>
      <c r="H288" s="47" t="s">
        <v>46</v>
      </c>
      <c r="I288" s="47" t="s">
        <v>121</v>
      </c>
      <c r="J288" s="47" t="s">
        <v>28</v>
      </c>
      <c r="K288" s="47" t="s">
        <v>33</v>
      </c>
    </row>
    <row r="289" customFormat="false" ht="15" hidden="false" customHeight="false" outlineLevel="0" collapsed="false">
      <c r="A289" s="0" t="s">
        <v>677</v>
      </c>
      <c r="B289" s="0" t="s">
        <v>448</v>
      </c>
      <c r="D289" s="46" t="n">
        <v>46167</v>
      </c>
      <c r="E289" s="47" t="s">
        <v>59</v>
      </c>
      <c r="F289" s="48" t="n">
        <v>157465.76</v>
      </c>
      <c r="G289" s="47" t="s">
        <v>53</v>
      </c>
      <c r="H289" s="47" t="s">
        <v>39</v>
      </c>
      <c r="I289" s="47" t="s">
        <v>98</v>
      </c>
      <c r="J289" s="47" t="s">
        <v>28</v>
      </c>
      <c r="K289" s="47" t="s">
        <v>34</v>
      </c>
    </row>
    <row r="290" customFormat="false" ht="15" hidden="false" customHeight="false" outlineLevel="0" collapsed="false">
      <c r="A290" s="0" t="s">
        <v>678</v>
      </c>
      <c r="B290" s="0" t="s">
        <v>679</v>
      </c>
      <c r="D290" s="46" t="n">
        <v>46151</v>
      </c>
      <c r="E290" s="47" t="s">
        <v>53</v>
      </c>
      <c r="F290" s="48" t="n">
        <v>78902.03</v>
      </c>
      <c r="G290" s="47" t="s">
        <v>53</v>
      </c>
      <c r="H290" s="47" t="s">
        <v>46</v>
      </c>
      <c r="I290" s="47" t="s">
        <v>148</v>
      </c>
      <c r="J290" s="47" t="s">
        <v>28</v>
      </c>
      <c r="K290" s="47" t="s">
        <v>33</v>
      </c>
    </row>
    <row r="291" customFormat="false" ht="15" hidden="false" customHeight="false" outlineLevel="0" collapsed="false">
      <c r="A291" s="0" t="s">
        <v>680</v>
      </c>
      <c r="B291" s="0" t="s">
        <v>681</v>
      </c>
      <c r="D291" s="46" t="n">
        <v>46158</v>
      </c>
      <c r="E291" s="47" t="s">
        <v>62</v>
      </c>
      <c r="F291" s="48" t="n">
        <v>115317.5</v>
      </c>
      <c r="G291" s="47" t="s">
        <v>68</v>
      </c>
      <c r="H291" s="47" t="s">
        <v>46</v>
      </c>
      <c r="I291" s="47" t="s">
        <v>148</v>
      </c>
      <c r="J291" s="47" t="s">
        <v>28</v>
      </c>
      <c r="K291" s="47" t="s">
        <v>33</v>
      </c>
    </row>
    <row r="292" customFormat="false" ht="15" hidden="false" customHeight="false" outlineLevel="0" collapsed="false">
      <c r="A292" s="0" t="s">
        <v>682</v>
      </c>
      <c r="B292" s="0" t="s">
        <v>603</v>
      </c>
      <c r="D292" s="46" t="n">
        <v>45989</v>
      </c>
      <c r="E292" s="47" t="s">
        <v>53</v>
      </c>
      <c r="F292" s="48" t="n">
        <v>173807.96</v>
      </c>
      <c r="G292" s="47" t="s">
        <v>65</v>
      </c>
      <c r="H292" s="47" t="s">
        <v>44</v>
      </c>
      <c r="I292" s="47" t="s">
        <v>132</v>
      </c>
      <c r="J292" s="47" t="s">
        <v>28</v>
      </c>
      <c r="K292" s="47" t="s">
        <v>34</v>
      </c>
    </row>
    <row r="293" customFormat="false" ht="15" hidden="false" customHeight="false" outlineLevel="0" collapsed="false">
      <c r="A293" s="0" t="s">
        <v>683</v>
      </c>
      <c r="B293" s="0" t="s">
        <v>559</v>
      </c>
      <c r="C293" s="0" t="s">
        <v>684</v>
      </c>
      <c r="D293" s="46" t="n">
        <v>46166</v>
      </c>
      <c r="E293" s="47" t="s">
        <v>61</v>
      </c>
      <c r="F293" s="48" t="n">
        <v>12520.32</v>
      </c>
      <c r="G293" s="47" t="s">
        <v>65</v>
      </c>
      <c r="H293" s="47" t="s">
        <v>44</v>
      </c>
      <c r="I293" s="47" t="s">
        <v>80</v>
      </c>
      <c r="J293" s="47" t="s">
        <v>28</v>
      </c>
      <c r="K293" s="47" t="s">
        <v>33</v>
      </c>
    </row>
    <row r="294" customFormat="false" ht="15" hidden="false" customHeight="false" outlineLevel="0" collapsed="false">
      <c r="A294" s="0" t="s">
        <v>685</v>
      </c>
      <c r="B294" s="0" t="s">
        <v>686</v>
      </c>
      <c r="D294" s="46" t="n">
        <v>46000</v>
      </c>
      <c r="E294" s="47" t="s">
        <v>58</v>
      </c>
      <c r="F294" s="48" t="n">
        <v>113664.66</v>
      </c>
      <c r="G294" s="47" t="s">
        <v>53</v>
      </c>
      <c r="H294" s="47" t="s">
        <v>48</v>
      </c>
      <c r="I294" s="47" t="s">
        <v>111</v>
      </c>
      <c r="J294" s="47" t="s">
        <v>28</v>
      </c>
      <c r="K294" s="47" t="s">
        <v>34</v>
      </c>
    </row>
    <row r="295" customFormat="false" ht="15" hidden="false" customHeight="false" outlineLevel="0" collapsed="false">
      <c r="A295" s="0" t="s">
        <v>687</v>
      </c>
      <c r="B295" s="0" t="s">
        <v>688</v>
      </c>
      <c r="D295" s="46" t="n">
        <v>45972</v>
      </c>
      <c r="E295" s="47" t="s">
        <v>58</v>
      </c>
      <c r="F295" s="48" t="n">
        <v>56180.13</v>
      </c>
      <c r="G295" s="47" t="s">
        <v>68</v>
      </c>
      <c r="H295" s="47" t="s">
        <v>40</v>
      </c>
      <c r="I295" s="47" t="s">
        <v>253</v>
      </c>
      <c r="J295" s="47" t="s">
        <v>28</v>
      </c>
      <c r="K295" s="47" t="s">
        <v>33</v>
      </c>
    </row>
    <row r="296" customFormat="false" ht="15" hidden="false" customHeight="false" outlineLevel="0" collapsed="false">
      <c r="A296" s="0" t="s">
        <v>689</v>
      </c>
      <c r="B296" s="0" t="s">
        <v>690</v>
      </c>
      <c r="D296" s="46" t="n">
        <v>45864</v>
      </c>
      <c r="E296" s="47" t="s">
        <v>60</v>
      </c>
      <c r="F296" s="48" t="n">
        <v>142501.96</v>
      </c>
      <c r="G296" s="47" t="s">
        <v>57</v>
      </c>
      <c r="H296" s="47" t="s">
        <v>43</v>
      </c>
      <c r="I296" s="47" t="s">
        <v>201</v>
      </c>
      <c r="J296" s="47" t="s">
        <v>28</v>
      </c>
      <c r="K296" s="47" t="s">
        <v>34</v>
      </c>
    </row>
    <row r="297" customFormat="false" ht="15" hidden="false" customHeight="false" outlineLevel="0" collapsed="false">
      <c r="A297" s="0" t="s">
        <v>691</v>
      </c>
      <c r="B297" s="0" t="s">
        <v>692</v>
      </c>
      <c r="D297" s="46" t="n">
        <v>45921</v>
      </c>
      <c r="E297" s="47" t="s">
        <v>62</v>
      </c>
      <c r="F297" s="48" t="n">
        <v>174728.73</v>
      </c>
      <c r="G297" s="47" t="s">
        <v>66</v>
      </c>
      <c r="H297" s="47" t="s">
        <v>41</v>
      </c>
      <c r="I297" s="47" t="s">
        <v>86</v>
      </c>
      <c r="J297" s="47" t="s">
        <v>28</v>
      </c>
      <c r="K297" s="47" t="s">
        <v>34</v>
      </c>
    </row>
    <row r="298" customFormat="false" ht="15" hidden="false" customHeight="false" outlineLevel="0" collapsed="false">
      <c r="A298" s="0" t="s">
        <v>693</v>
      </c>
      <c r="B298" s="0" t="s">
        <v>489</v>
      </c>
      <c r="D298" s="46" t="n">
        <v>46267</v>
      </c>
      <c r="E298" s="47" t="s">
        <v>55</v>
      </c>
      <c r="F298" s="48" t="n">
        <v>122040.62</v>
      </c>
      <c r="G298" s="47" t="s">
        <v>68</v>
      </c>
      <c r="H298" s="47" t="s">
        <v>41</v>
      </c>
      <c r="I298" s="47" t="s">
        <v>272</v>
      </c>
      <c r="J298" s="47" t="s">
        <v>28</v>
      </c>
      <c r="K298" s="47" t="s">
        <v>33</v>
      </c>
    </row>
    <row r="299" customFormat="false" ht="15" hidden="false" customHeight="false" outlineLevel="0" collapsed="false">
      <c r="A299" s="0" t="s">
        <v>694</v>
      </c>
      <c r="B299" s="0" t="s">
        <v>695</v>
      </c>
      <c r="D299" s="46" t="n">
        <v>45797</v>
      </c>
      <c r="E299" s="47" t="s">
        <v>53</v>
      </c>
      <c r="F299" s="48" t="n">
        <v>133014.51</v>
      </c>
      <c r="G299" s="47" t="s">
        <v>57</v>
      </c>
      <c r="H299" s="47" t="s">
        <v>43</v>
      </c>
      <c r="I299" s="47" t="s">
        <v>201</v>
      </c>
      <c r="J299" s="47" t="s">
        <v>28</v>
      </c>
      <c r="K299" s="47" t="s">
        <v>34</v>
      </c>
    </row>
    <row r="300" customFormat="false" ht="15" hidden="false" customHeight="false" outlineLevel="0" collapsed="false">
      <c r="A300" s="0" t="s">
        <v>696</v>
      </c>
      <c r="B300" s="0" t="s">
        <v>697</v>
      </c>
      <c r="D300" s="46" t="n">
        <v>45900</v>
      </c>
      <c r="E300" s="47" t="s">
        <v>53</v>
      </c>
      <c r="F300" s="48" t="n">
        <v>50950.13</v>
      </c>
      <c r="G300" s="47" t="s">
        <v>65</v>
      </c>
      <c r="H300" s="47" t="s">
        <v>48</v>
      </c>
      <c r="I300" s="47" t="s">
        <v>212</v>
      </c>
      <c r="J300" s="47" t="s">
        <v>28</v>
      </c>
      <c r="K300" s="47" t="s">
        <v>34</v>
      </c>
    </row>
    <row r="301" customFormat="false" ht="15" hidden="false" customHeight="false" outlineLevel="0" collapsed="false">
      <c r="A301" s="0" t="s">
        <v>698</v>
      </c>
      <c r="B301" s="0" t="s">
        <v>125</v>
      </c>
      <c r="C301" s="0" t="s">
        <v>699</v>
      </c>
      <c r="D301" s="46" t="n">
        <v>46249</v>
      </c>
      <c r="E301" s="47" t="s">
        <v>53</v>
      </c>
      <c r="F301" s="48" t="n">
        <v>11416.03</v>
      </c>
      <c r="G301" s="47" t="s">
        <v>68</v>
      </c>
      <c r="H301" s="47" t="s">
        <v>46</v>
      </c>
      <c r="I301" s="47" t="s">
        <v>121</v>
      </c>
      <c r="J301" s="47" t="s">
        <v>28</v>
      </c>
      <c r="K301" s="47" t="s">
        <v>34</v>
      </c>
    </row>
    <row r="302" customFormat="false" ht="15" hidden="false" customHeight="false" outlineLevel="0" collapsed="false">
      <c r="A302" s="0" t="s">
        <v>700</v>
      </c>
      <c r="B302" s="0" t="s">
        <v>701</v>
      </c>
      <c r="D302" s="46" t="n">
        <v>46274</v>
      </c>
      <c r="E302" s="47" t="s">
        <v>62</v>
      </c>
      <c r="F302" s="48" t="n">
        <v>169715.83</v>
      </c>
      <c r="G302" s="47" t="s">
        <v>66</v>
      </c>
      <c r="H302" s="47" t="s">
        <v>41</v>
      </c>
      <c r="I302" s="47" t="s">
        <v>86</v>
      </c>
      <c r="J302" s="47" t="s">
        <v>28</v>
      </c>
      <c r="K302" s="47" t="s">
        <v>34</v>
      </c>
    </row>
    <row r="303" customFormat="false" ht="15" hidden="false" customHeight="false" outlineLevel="0" collapsed="false">
      <c r="A303" s="0" t="s">
        <v>702</v>
      </c>
      <c r="B303" s="0" t="s">
        <v>625</v>
      </c>
      <c r="D303" s="46" t="n">
        <v>46019</v>
      </c>
      <c r="E303" s="47" t="s">
        <v>53</v>
      </c>
      <c r="F303" s="48" t="n">
        <v>24853.98</v>
      </c>
      <c r="G303" s="47" t="s">
        <v>68</v>
      </c>
      <c r="H303" s="47" t="s">
        <v>44</v>
      </c>
      <c r="I303" s="47" t="s">
        <v>226</v>
      </c>
      <c r="J303" s="47" t="s">
        <v>28</v>
      </c>
      <c r="K303" s="47" t="s">
        <v>33</v>
      </c>
    </row>
    <row r="304" customFormat="false" ht="15" hidden="false" customHeight="false" outlineLevel="0" collapsed="false">
      <c r="A304" s="0" t="s">
        <v>703</v>
      </c>
      <c r="B304" s="0" t="s">
        <v>704</v>
      </c>
      <c r="C304" s="0" t="s">
        <v>705</v>
      </c>
      <c r="D304" s="46" t="n">
        <v>45751</v>
      </c>
      <c r="E304" s="47" t="s">
        <v>61</v>
      </c>
      <c r="F304" s="48" t="n">
        <v>97156.07</v>
      </c>
      <c r="G304" s="47" t="s">
        <v>65</v>
      </c>
      <c r="H304" s="47" t="s">
        <v>46</v>
      </c>
      <c r="I304" s="47" t="s">
        <v>121</v>
      </c>
      <c r="J304" s="47" t="s">
        <v>28</v>
      </c>
      <c r="K304" s="47" t="s">
        <v>33</v>
      </c>
    </row>
    <row r="305" customFormat="false" ht="15" hidden="false" customHeight="false" outlineLevel="0" collapsed="false">
      <c r="A305" s="0" t="s">
        <v>706</v>
      </c>
      <c r="B305" s="0" t="s">
        <v>707</v>
      </c>
      <c r="D305" s="46" t="n">
        <v>45986</v>
      </c>
      <c r="E305" s="47" t="s">
        <v>55</v>
      </c>
      <c r="F305" s="48" t="n">
        <v>111093.29</v>
      </c>
      <c r="G305" s="47" t="s">
        <v>57</v>
      </c>
      <c r="H305" s="47" t="s">
        <v>43</v>
      </c>
      <c r="I305" s="47" t="s">
        <v>201</v>
      </c>
      <c r="J305" s="47" t="s">
        <v>28</v>
      </c>
      <c r="K305" s="47" t="s">
        <v>34</v>
      </c>
    </row>
    <row r="306" customFormat="false" ht="15" hidden="false" customHeight="false" outlineLevel="0" collapsed="false">
      <c r="A306" s="0" t="s">
        <v>708</v>
      </c>
      <c r="B306" s="0" t="s">
        <v>709</v>
      </c>
      <c r="D306" s="46" t="n">
        <v>45674</v>
      </c>
      <c r="E306" s="47" t="s">
        <v>58</v>
      </c>
      <c r="F306" s="48" t="n">
        <v>119280.76</v>
      </c>
      <c r="G306" s="47" t="s">
        <v>66</v>
      </c>
      <c r="H306" s="47" t="s">
        <v>39</v>
      </c>
      <c r="I306" s="47" t="s">
        <v>145</v>
      </c>
      <c r="J306" s="47" t="s">
        <v>28</v>
      </c>
      <c r="K306" s="47" t="s">
        <v>33</v>
      </c>
    </row>
    <row r="307" customFormat="false" ht="15" hidden="false" customHeight="false" outlineLevel="0" collapsed="false">
      <c r="A307" s="0" t="s">
        <v>710</v>
      </c>
      <c r="B307" s="0" t="s">
        <v>711</v>
      </c>
      <c r="D307" s="46" t="n">
        <v>45736</v>
      </c>
      <c r="E307" s="47" t="s">
        <v>61</v>
      </c>
      <c r="F307" s="48" t="n">
        <v>11153.23</v>
      </c>
      <c r="G307" s="47" t="s">
        <v>65</v>
      </c>
      <c r="H307" s="47" t="s">
        <v>42</v>
      </c>
      <c r="I307" s="47" t="s">
        <v>137</v>
      </c>
      <c r="J307" s="47" t="s">
        <v>28</v>
      </c>
      <c r="K307" s="47" t="s">
        <v>33</v>
      </c>
    </row>
    <row r="308" customFormat="false" ht="15" hidden="false" customHeight="false" outlineLevel="0" collapsed="false">
      <c r="A308" s="0" t="s">
        <v>712</v>
      </c>
      <c r="B308" s="0" t="s">
        <v>713</v>
      </c>
      <c r="D308" s="46" t="n">
        <v>45817</v>
      </c>
      <c r="E308" s="47" t="s">
        <v>59</v>
      </c>
      <c r="F308" s="48" t="n">
        <v>133844.69</v>
      </c>
      <c r="G308" s="47" t="s">
        <v>65</v>
      </c>
      <c r="H308" s="47" t="s">
        <v>48</v>
      </c>
      <c r="I308" s="47" t="s">
        <v>212</v>
      </c>
      <c r="J308" s="47" t="s">
        <v>28</v>
      </c>
      <c r="K308" s="47" t="s">
        <v>34</v>
      </c>
    </row>
    <row r="309" customFormat="false" ht="15" hidden="false" customHeight="false" outlineLevel="0" collapsed="false">
      <c r="A309" s="0" t="s">
        <v>714</v>
      </c>
      <c r="B309" s="0" t="s">
        <v>715</v>
      </c>
      <c r="D309" s="46" t="n">
        <v>46275</v>
      </c>
      <c r="E309" s="47" t="s">
        <v>58</v>
      </c>
      <c r="F309" s="48" t="n">
        <v>77564.01</v>
      </c>
      <c r="G309" s="47" t="s">
        <v>57</v>
      </c>
      <c r="H309" s="47" t="s">
        <v>42</v>
      </c>
      <c r="I309" s="47" t="s">
        <v>398</v>
      </c>
      <c r="J309" s="47" t="s">
        <v>28</v>
      </c>
      <c r="K309" s="47" t="s">
        <v>33</v>
      </c>
    </row>
    <row r="310" customFormat="false" ht="15" hidden="false" customHeight="false" outlineLevel="0" collapsed="false">
      <c r="A310" s="0" t="s">
        <v>716</v>
      </c>
      <c r="B310" s="0" t="s">
        <v>295</v>
      </c>
      <c r="D310" s="46" t="n">
        <v>45871</v>
      </c>
      <c r="E310" s="47" t="s">
        <v>53</v>
      </c>
      <c r="F310" s="48" t="n">
        <v>33533.29</v>
      </c>
      <c r="G310" s="47" t="s">
        <v>65</v>
      </c>
      <c r="H310" s="47" t="s">
        <v>42</v>
      </c>
      <c r="I310" s="47" t="s">
        <v>137</v>
      </c>
      <c r="J310" s="47" t="s">
        <v>28</v>
      </c>
      <c r="K310" s="47" t="s">
        <v>33</v>
      </c>
    </row>
    <row r="311" customFormat="false" ht="15" hidden="false" customHeight="false" outlineLevel="0" collapsed="false">
      <c r="A311" s="0" t="s">
        <v>717</v>
      </c>
      <c r="B311" s="0" t="s">
        <v>718</v>
      </c>
      <c r="D311" s="46" t="n">
        <v>45912</v>
      </c>
      <c r="E311" s="47" t="s">
        <v>59</v>
      </c>
      <c r="F311" s="48" t="n">
        <v>74812.05</v>
      </c>
      <c r="G311" s="47" t="s">
        <v>65</v>
      </c>
      <c r="H311" s="47" t="s">
        <v>42</v>
      </c>
      <c r="I311" s="47" t="s">
        <v>398</v>
      </c>
      <c r="J311" s="47" t="s">
        <v>28</v>
      </c>
      <c r="K311" s="47" t="s">
        <v>33</v>
      </c>
    </row>
    <row r="312" customFormat="false" ht="15" hidden="false" customHeight="false" outlineLevel="0" collapsed="false">
      <c r="A312" s="0" t="s">
        <v>719</v>
      </c>
      <c r="B312" s="0" t="s">
        <v>531</v>
      </c>
      <c r="C312" s="0" t="s">
        <v>720</v>
      </c>
      <c r="D312" s="46" t="n">
        <v>45802</v>
      </c>
      <c r="E312" s="47" t="s">
        <v>62</v>
      </c>
      <c r="F312" s="48" t="n">
        <v>182657.61</v>
      </c>
      <c r="G312" s="47" t="s">
        <v>65</v>
      </c>
      <c r="H312" s="47" t="s">
        <v>41</v>
      </c>
      <c r="I312" s="47" t="s">
        <v>86</v>
      </c>
      <c r="J312" s="47" t="s">
        <v>29</v>
      </c>
      <c r="K312" s="47" t="s">
        <v>34</v>
      </c>
    </row>
    <row r="313" customFormat="false" ht="15" hidden="false" customHeight="false" outlineLevel="0" collapsed="false">
      <c r="A313" s="0" t="s">
        <v>721</v>
      </c>
      <c r="B313" s="0" t="s">
        <v>123</v>
      </c>
      <c r="D313" s="46" t="n">
        <v>46176</v>
      </c>
      <c r="E313" s="47" t="s">
        <v>62</v>
      </c>
      <c r="F313" s="48" t="n">
        <v>65832.28</v>
      </c>
      <c r="G313" s="47" t="s">
        <v>57</v>
      </c>
      <c r="H313" s="47" t="s">
        <v>39</v>
      </c>
      <c r="I313" s="47" t="s">
        <v>98</v>
      </c>
      <c r="J313" s="47" t="s">
        <v>28</v>
      </c>
      <c r="K313" s="47" t="s">
        <v>33</v>
      </c>
    </row>
    <row r="314" customFormat="false" ht="15" hidden="false" customHeight="false" outlineLevel="0" collapsed="false">
      <c r="A314" s="0" t="s">
        <v>722</v>
      </c>
      <c r="B314" s="0" t="s">
        <v>723</v>
      </c>
      <c r="D314" s="46" t="n">
        <v>45924</v>
      </c>
      <c r="E314" s="47" t="s">
        <v>53</v>
      </c>
      <c r="F314" s="48" t="n">
        <v>86637.23</v>
      </c>
      <c r="G314" s="47" t="s">
        <v>66</v>
      </c>
      <c r="H314" s="47" t="s">
        <v>48</v>
      </c>
      <c r="I314" s="47" t="s">
        <v>212</v>
      </c>
      <c r="J314" s="47" t="s">
        <v>29</v>
      </c>
      <c r="K314" s="47" t="s">
        <v>34</v>
      </c>
    </row>
    <row r="315" customFormat="false" ht="15" hidden="false" customHeight="false" outlineLevel="0" collapsed="false">
      <c r="A315" s="0" t="s">
        <v>724</v>
      </c>
      <c r="B315" s="0" t="s">
        <v>725</v>
      </c>
      <c r="C315" s="0" t="s">
        <v>726</v>
      </c>
      <c r="D315" s="46" t="n">
        <v>46271</v>
      </c>
      <c r="E315" s="47" t="s">
        <v>58</v>
      </c>
      <c r="F315" s="48" t="n">
        <v>131705.25</v>
      </c>
      <c r="G315" s="47" t="s">
        <v>68</v>
      </c>
      <c r="H315" s="47" t="s">
        <v>41</v>
      </c>
      <c r="I315" s="47" t="s">
        <v>272</v>
      </c>
      <c r="J315" s="47" t="s">
        <v>28</v>
      </c>
      <c r="K315" s="47" t="s">
        <v>33</v>
      </c>
    </row>
    <row r="316" customFormat="false" ht="15" hidden="false" customHeight="false" outlineLevel="0" collapsed="false">
      <c r="A316" s="0" t="s">
        <v>727</v>
      </c>
      <c r="B316" s="0" t="s">
        <v>728</v>
      </c>
      <c r="D316" s="46" t="n">
        <v>46284</v>
      </c>
      <c r="E316" s="47" t="s">
        <v>55</v>
      </c>
      <c r="F316" s="48" t="n">
        <v>175645.58</v>
      </c>
      <c r="G316" s="47" t="s">
        <v>53</v>
      </c>
      <c r="H316" s="47" t="s">
        <v>45</v>
      </c>
      <c r="I316" s="47" t="s">
        <v>95</v>
      </c>
      <c r="J316" s="47" t="s">
        <v>29</v>
      </c>
      <c r="K316" s="47" t="s">
        <v>34</v>
      </c>
    </row>
    <row r="317" customFormat="false" ht="15" hidden="false" customHeight="false" outlineLevel="0" collapsed="false">
      <c r="A317" s="0" t="s">
        <v>729</v>
      </c>
      <c r="B317" s="0" t="s">
        <v>730</v>
      </c>
      <c r="D317" s="46" t="n">
        <v>45676</v>
      </c>
      <c r="E317" s="47" t="s">
        <v>55</v>
      </c>
      <c r="F317" s="48" t="n">
        <v>75943</v>
      </c>
      <c r="G317" s="47" t="s">
        <v>68</v>
      </c>
      <c r="H317" s="47" t="s">
        <v>48</v>
      </c>
      <c r="I317" s="47" t="s">
        <v>114</v>
      </c>
      <c r="J317" s="47" t="s">
        <v>28</v>
      </c>
      <c r="K317" s="47" t="s">
        <v>33</v>
      </c>
    </row>
    <row r="318" customFormat="false" ht="15" hidden="false" customHeight="false" outlineLevel="0" collapsed="false">
      <c r="A318" s="0" t="s">
        <v>731</v>
      </c>
      <c r="B318" s="0" t="s">
        <v>732</v>
      </c>
      <c r="D318" s="46" t="n">
        <v>45853</v>
      </c>
      <c r="E318" s="47" t="s">
        <v>61</v>
      </c>
      <c r="F318" s="48" t="n">
        <v>152166.81</v>
      </c>
      <c r="G318" s="47" t="s">
        <v>66</v>
      </c>
      <c r="H318" s="47" t="s">
        <v>41</v>
      </c>
      <c r="I318" s="47" t="s">
        <v>86</v>
      </c>
      <c r="J318" s="47" t="s">
        <v>28</v>
      </c>
      <c r="K318" s="47" t="s">
        <v>33</v>
      </c>
    </row>
    <row r="319" customFormat="false" ht="15" hidden="false" customHeight="false" outlineLevel="0" collapsed="false">
      <c r="A319" s="0" t="s">
        <v>733</v>
      </c>
      <c r="B319" s="0" t="s">
        <v>631</v>
      </c>
      <c r="D319" s="46" t="n">
        <v>46188</v>
      </c>
      <c r="E319" s="47" t="s">
        <v>55</v>
      </c>
      <c r="F319" s="48" t="n">
        <v>178878.93</v>
      </c>
      <c r="G319" s="47" t="s">
        <v>57</v>
      </c>
      <c r="H319" s="47" t="s">
        <v>43</v>
      </c>
      <c r="I319" s="47" t="s">
        <v>201</v>
      </c>
      <c r="J319" s="47" t="s">
        <v>28</v>
      </c>
      <c r="K319" s="47" t="s">
        <v>34</v>
      </c>
    </row>
    <row r="320" customFormat="false" ht="15" hidden="false" customHeight="false" outlineLevel="0" collapsed="false">
      <c r="A320" s="0" t="s">
        <v>734</v>
      </c>
      <c r="B320" s="0" t="s">
        <v>735</v>
      </c>
      <c r="C320" s="0" t="s">
        <v>736</v>
      </c>
      <c r="D320" s="46" t="n">
        <v>46174</v>
      </c>
      <c r="E320" s="47" t="s">
        <v>60</v>
      </c>
      <c r="F320" s="48" t="n">
        <v>123667.12</v>
      </c>
      <c r="G320" s="47" t="s">
        <v>57</v>
      </c>
      <c r="H320" s="47" t="s">
        <v>41</v>
      </c>
      <c r="I320" s="47" t="s">
        <v>293</v>
      </c>
      <c r="J320" s="47" t="s">
        <v>28</v>
      </c>
      <c r="K320" s="47" t="s">
        <v>33</v>
      </c>
    </row>
    <row r="321" customFormat="false" ht="15" hidden="false" customHeight="false" outlineLevel="0" collapsed="false">
      <c r="A321" s="0" t="s">
        <v>737</v>
      </c>
      <c r="B321" s="0" t="s">
        <v>738</v>
      </c>
      <c r="D321" s="46" t="n">
        <v>45710</v>
      </c>
      <c r="E321" s="47" t="s">
        <v>61</v>
      </c>
      <c r="F321" s="48" t="n">
        <v>109429.47</v>
      </c>
      <c r="G321" s="47" t="s">
        <v>57</v>
      </c>
      <c r="H321" s="47" t="s">
        <v>47</v>
      </c>
      <c r="I321" s="47" t="s">
        <v>245</v>
      </c>
      <c r="J321" s="47" t="s">
        <v>28</v>
      </c>
      <c r="K321" s="47" t="s">
        <v>34</v>
      </c>
    </row>
    <row r="322" customFormat="false" ht="15" hidden="false" customHeight="false" outlineLevel="0" collapsed="false">
      <c r="A322" s="0" t="s">
        <v>739</v>
      </c>
      <c r="B322" s="0" t="s">
        <v>740</v>
      </c>
      <c r="D322" s="46" t="n">
        <v>46267</v>
      </c>
      <c r="E322" s="47" t="s">
        <v>60</v>
      </c>
      <c r="F322" s="48" t="n">
        <v>171157.44</v>
      </c>
      <c r="G322" s="47" t="s">
        <v>53</v>
      </c>
      <c r="H322" s="47" t="s">
        <v>44</v>
      </c>
      <c r="I322" s="47" t="s">
        <v>132</v>
      </c>
      <c r="J322" s="47" t="s">
        <v>28</v>
      </c>
      <c r="K322" s="47" t="s">
        <v>33</v>
      </c>
    </row>
    <row r="323" customFormat="false" ht="15" hidden="false" customHeight="false" outlineLevel="0" collapsed="false">
      <c r="A323" s="0" t="s">
        <v>741</v>
      </c>
      <c r="B323" s="0" t="s">
        <v>491</v>
      </c>
      <c r="D323" s="46" t="n">
        <v>46276</v>
      </c>
      <c r="E323" s="47" t="s">
        <v>59</v>
      </c>
      <c r="F323" s="48" t="n">
        <v>76874</v>
      </c>
      <c r="G323" s="47" t="s">
        <v>53</v>
      </c>
      <c r="H323" s="47" t="s">
        <v>47</v>
      </c>
      <c r="I323" s="47" t="s">
        <v>108</v>
      </c>
      <c r="J323" s="47" t="s">
        <v>28</v>
      </c>
      <c r="K323" s="47" t="s">
        <v>34</v>
      </c>
    </row>
    <row r="324" customFormat="false" ht="15" hidden="false" customHeight="false" outlineLevel="0" collapsed="false">
      <c r="A324" s="0" t="s">
        <v>742</v>
      </c>
      <c r="B324" s="0" t="s">
        <v>743</v>
      </c>
      <c r="C324" s="0" t="s">
        <v>744</v>
      </c>
      <c r="D324" s="46" t="n">
        <v>45760</v>
      </c>
      <c r="E324" s="47" t="s">
        <v>60</v>
      </c>
      <c r="F324" s="48" t="n">
        <v>146571.09</v>
      </c>
      <c r="G324" s="47" t="s">
        <v>66</v>
      </c>
      <c r="H324" s="47" t="s">
        <v>39</v>
      </c>
      <c r="I324" s="47" t="s">
        <v>98</v>
      </c>
      <c r="J324" s="47" t="s">
        <v>28</v>
      </c>
      <c r="K324" s="47" t="s">
        <v>34</v>
      </c>
    </row>
    <row r="325" customFormat="false" ht="15" hidden="false" customHeight="false" outlineLevel="0" collapsed="false">
      <c r="A325" s="0" t="s">
        <v>745</v>
      </c>
      <c r="B325" s="0" t="s">
        <v>400</v>
      </c>
      <c r="D325" s="46" t="n">
        <v>45729</v>
      </c>
      <c r="E325" s="47" t="s">
        <v>55</v>
      </c>
      <c r="F325" s="48" t="n">
        <v>138327.08</v>
      </c>
      <c r="G325" s="47" t="s">
        <v>66</v>
      </c>
      <c r="H325" s="47" t="s">
        <v>42</v>
      </c>
      <c r="I325" s="47" t="s">
        <v>137</v>
      </c>
      <c r="J325" s="47" t="s">
        <v>28</v>
      </c>
      <c r="K325" s="47" t="s">
        <v>33</v>
      </c>
    </row>
    <row r="326" customFormat="false" ht="15" hidden="false" customHeight="false" outlineLevel="0" collapsed="false">
      <c r="A326" s="0" t="s">
        <v>746</v>
      </c>
      <c r="B326" s="0" t="s">
        <v>747</v>
      </c>
      <c r="D326" s="46" t="n">
        <v>45937</v>
      </c>
      <c r="E326" s="47" t="s">
        <v>59</v>
      </c>
      <c r="F326" s="48" t="n">
        <v>87982.7</v>
      </c>
      <c r="G326" s="47" t="s">
        <v>53</v>
      </c>
      <c r="H326" s="47" t="s">
        <v>48</v>
      </c>
      <c r="I326" s="47" t="s">
        <v>114</v>
      </c>
      <c r="J326" s="47" t="s">
        <v>28</v>
      </c>
      <c r="K326" s="47" t="s">
        <v>33</v>
      </c>
    </row>
    <row r="327" customFormat="false" ht="15" hidden="false" customHeight="false" outlineLevel="0" collapsed="false">
      <c r="A327" s="0" t="s">
        <v>748</v>
      </c>
      <c r="B327" s="0" t="s">
        <v>749</v>
      </c>
      <c r="D327" s="46" t="n">
        <v>45980</v>
      </c>
      <c r="E327" s="47" t="s">
        <v>62</v>
      </c>
      <c r="F327" s="48" t="n">
        <v>152715.89</v>
      </c>
      <c r="G327" s="47" t="s">
        <v>57</v>
      </c>
      <c r="H327" s="47" t="s">
        <v>47</v>
      </c>
      <c r="I327" s="47" t="s">
        <v>166</v>
      </c>
      <c r="J327" s="47" t="s">
        <v>28</v>
      </c>
      <c r="K327" s="47" t="s">
        <v>34</v>
      </c>
    </row>
    <row r="328" customFormat="false" ht="15" hidden="false" customHeight="false" outlineLevel="0" collapsed="false">
      <c r="A328" s="0" t="s">
        <v>750</v>
      </c>
      <c r="B328" s="0" t="s">
        <v>520</v>
      </c>
      <c r="D328" s="46" t="n">
        <v>46107</v>
      </c>
      <c r="E328" s="47" t="s">
        <v>59</v>
      </c>
      <c r="F328" s="48" t="n">
        <v>145187.28</v>
      </c>
      <c r="G328" s="47" t="s">
        <v>68</v>
      </c>
      <c r="H328" s="47" t="s">
        <v>47</v>
      </c>
      <c r="I328" s="47" t="s">
        <v>108</v>
      </c>
      <c r="J328" s="47" t="s">
        <v>28</v>
      </c>
      <c r="K328" s="47" t="s">
        <v>34</v>
      </c>
    </row>
    <row r="329" customFormat="false" ht="15" hidden="false" customHeight="false" outlineLevel="0" collapsed="false">
      <c r="A329" s="0" t="s">
        <v>751</v>
      </c>
      <c r="B329" s="0" t="s">
        <v>459</v>
      </c>
      <c r="D329" s="46" t="n">
        <v>45673</v>
      </c>
      <c r="E329" s="47" t="s">
        <v>60</v>
      </c>
      <c r="F329" s="48" t="n">
        <v>158015.53</v>
      </c>
      <c r="G329" s="47" t="s">
        <v>68</v>
      </c>
      <c r="H329" s="47" t="s">
        <v>45</v>
      </c>
      <c r="I329" s="47" t="s">
        <v>217</v>
      </c>
      <c r="J329" s="47" t="s">
        <v>28</v>
      </c>
      <c r="K329" s="47" t="s">
        <v>33</v>
      </c>
    </row>
    <row r="330" customFormat="false" ht="15" hidden="false" customHeight="false" outlineLevel="0" collapsed="false">
      <c r="A330" s="0" t="s">
        <v>752</v>
      </c>
      <c r="B330" s="0" t="s">
        <v>753</v>
      </c>
      <c r="D330" s="46" t="n">
        <v>45738</v>
      </c>
      <c r="E330" s="47" t="s">
        <v>53</v>
      </c>
      <c r="F330" s="48" t="n">
        <v>104045.25</v>
      </c>
      <c r="G330" s="47" t="s">
        <v>66</v>
      </c>
      <c r="H330" s="47" t="s">
        <v>46</v>
      </c>
      <c r="I330" s="47" t="s">
        <v>242</v>
      </c>
      <c r="J330" s="47" t="s">
        <v>28</v>
      </c>
      <c r="K330" s="47" t="s">
        <v>33</v>
      </c>
    </row>
    <row r="331" customFormat="false" ht="15" hidden="false" customHeight="false" outlineLevel="0" collapsed="false">
      <c r="A331" s="0" t="s">
        <v>754</v>
      </c>
      <c r="B331" s="0" t="s">
        <v>755</v>
      </c>
      <c r="C331" s="0" t="s">
        <v>756</v>
      </c>
      <c r="D331" s="46" t="n">
        <v>46020</v>
      </c>
      <c r="E331" s="47" t="s">
        <v>62</v>
      </c>
      <c r="F331" s="48" t="n">
        <v>68330.16</v>
      </c>
      <c r="G331" s="47" t="s">
        <v>57</v>
      </c>
      <c r="H331" s="47" t="s">
        <v>41</v>
      </c>
      <c r="I331" s="47" t="s">
        <v>86</v>
      </c>
      <c r="J331" s="47" t="s">
        <v>28</v>
      </c>
      <c r="K331" s="47" t="s">
        <v>33</v>
      </c>
    </row>
    <row r="332" customFormat="false" ht="15" hidden="false" customHeight="false" outlineLevel="0" collapsed="false">
      <c r="A332" s="0" t="s">
        <v>757</v>
      </c>
      <c r="B332" s="0" t="s">
        <v>758</v>
      </c>
      <c r="D332" s="46" t="n">
        <v>45881</v>
      </c>
      <c r="E332" s="47" t="s">
        <v>61</v>
      </c>
      <c r="F332" s="48" t="n">
        <v>157209.63</v>
      </c>
      <c r="G332" s="47" t="s">
        <v>66</v>
      </c>
      <c r="H332" s="47" t="s">
        <v>39</v>
      </c>
      <c r="I332" s="47" t="s">
        <v>177</v>
      </c>
      <c r="J332" s="47" t="s">
        <v>29</v>
      </c>
      <c r="K332" s="47" t="s">
        <v>33</v>
      </c>
    </row>
    <row r="333" customFormat="false" ht="15" hidden="false" customHeight="false" outlineLevel="0" collapsed="false">
      <c r="A333" s="0" t="s">
        <v>759</v>
      </c>
      <c r="B333" s="0" t="s">
        <v>760</v>
      </c>
      <c r="D333" s="46" t="n">
        <v>46172</v>
      </c>
      <c r="E333" s="47" t="s">
        <v>55</v>
      </c>
      <c r="F333" s="48" t="n">
        <v>65656.08</v>
      </c>
      <c r="G333" s="47" t="s">
        <v>65</v>
      </c>
      <c r="H333" s="47" t="s">
        <v>47</v>
      </c>
      <c r="I333" s="47" t="s">
        <v>166</v>
      </c>
      <c r="J333" s="47" t="s">
        <v>28</v>
      </c>
      <c r="K333" s="47" t="s">
        <v>33</v>
      </c>
    </row>
    <row r="334" customFormat="false" ht="15" hidden="false" customHeight="false" outlineLevel="0" collapsed="false">
      <c r="A334" s="0" t="s">
        <v>761</v>
      </c>
      <c r="B334" s="0" t="s">
        <v>762</v>
      </c>
      <c r="D334" s="46" t="n">
        <v>46074</v>
      </c>
      <c r="E334" s="47" t="s">
        <v>61</v>
      </c>
      <c r="F334" s="48" t="n">
        <v>138775.38</v>
      </c>
      <c r="G334" s="47" t="s">
        <v>65</v>
      </c>
      <c r="H334" s="47" t="s">
        <v>43</v>
      </c>
      <c r="I334" s="47" t="s">
        <v>201</v>
      </c>
      <c r="J334" s="47" t="s">
        <v>28</v>
      </c>
      <c r="K334" s="47" t="s">
        <v>34</v>
      </c>
    </row>
    <row r="335" customFormat="false" ht="15" hidden="false" customHeight="false" outlineLevel="0" collapsed="false">
      <c r="A335" s="0" t="s">
        <v>763</v>
      </c>
      <c r="B335" s="0" t="s">
        <v>621</v>
      </c>
      <c r="D335" s="46" t="n">
        <v>46279</v>
      </c>
      <c r="E335" s="47" t="s">
        <v>58</v>
      </c>
      <c r="F335" s="48" t="n">
        <v>14281.69</v>
      </c>
      <c r="G335" s="47" t="s">
        <v>65</v>
      </c>
      <c r="H335" s="47" t="s">
        <v>44</v>
      </c>
      <c r="I335" s="47" t="s">
        <v>226</v>
      </c>
      <c r="J335" s="47" t="s">
        <v>28</v>
      </c>
      <c r="K335" s="47" t="s">
        <v>34</v>
      </c>
    </row>
    <row r="336" customFormat="false" ht="15" hidden="false" customHeight="false" outlineLevel="0" collapsed="false">
      <c r="A336" s="0" t="s">
        <v>764</v>
      </c>
      <c r="B336" s="0" t="s">
        <v>765</v>
      </c>
      <c r="D336" s="46" t="n">
        <v>46244</v>
      </c>
      <c r="E336" s="47" t="s">
        <v>60</v>
      </c>
      <c r="F336" s="48" t="n">
        <v>5409</v>
      </c>
      <c r="G336" s="47" t="s">
        <v>53</v>
      </c>
      <c r="H336" s="47" t="s">
        <v>41</v>
      </c>
      <c r="I336" s="47" t="s">
        <v>293</v>
      </c>
      <c r="J336" s="47" t="s">
        <v>28</v>
      </c>
      <c r="K336" s="47" t="s">
        <v>33</v>
      </c>
    </row>
    <row r="337" customFormat="false" ht="15" hidden="false" customHeight="false" outlineLevel="0" collapsed="false">
      <c r="A337" s="0" t="s">
        <v>766</v>
      </c>
      <c r="B337" s="0" t="s">
        <v>767</v>
      </c>
      <c r="D337" s="46" t="n">
        <v>45707</v>
      </c>
      <c r="E337" s="47" t="s">
        <v>59</v>
      </c>
      <c r="F337" s="48" t="n">
        <v>163285.68</v>
      </c>
      <c r="G337" s="47" t="s">
        <v>57</v>
      </c>
      <c r="H337" s="47" t="s">
        <v>46</v>
      </c>
      <c r="I337" s="47" t="s">
        <v>148</v>
      </c>
      <c r="J337" s="47" t="s">
        <v>28</v>
      </c>
      <c r="K337" s="47" t="s">
        <v>34</v>
      </c>
    </row>
    <row r="338" customFormat="false" ht="15" hidden="false" customHeight="false" outlineLevel="0" collapsed="false">
      <c r="A338" s="0" t="s">
        <v>768</v>
      </c>
      <c r="B338" s="0" t="s">
        <v>769</v>
      </c>
      <c r="D338" s="46" t="n">
        <v>46248</v>
      </c>
      <c r="E338" s="47" t="s">
        <v>53</v>
      </c>
      <c r="F338" s="48" t="n">
        <v>115468.11</v>
      </c>
      <c r="G338" s="47" t="s">
        <v>65</v>
      </c>
      <c r="H338" s="47" t="s">
        <v>44</v>
      </c>
      <c r="I338" s="47" t="s">
        <v>226</v>
      </c>
      <c r="J338" s="47" t="s">
        <v>28</v>
      </c>
      <c r="K338" s="47" t="s">
        <v>33</v>
      </c>
    </row>
    <row r="339" customFormat="false" ht="15" hidden="false" customHeight="false" outlineLevel="0" collapsed="false">
      <c r="A339" s="0" t="s">
        <v>770</v>
      </c>
      <c r="B339" s="0" t="s">
        <v>297</v>
      </c>
      <c r="C339" s="0" t="s">
        <v>771</v>
      </c>
      <c r="D339" s="46" t="n">
        <v>45920</v>
      </c>
      <c r="E339" s="47" t="s">
        <v>62</v>
      </c>
      <c r="F339" s="48" t="n">
        <v>115537.09</v>
      </c>
      <c r="G339" s="47" t="s">
        <v>53</v>
      </c>
      <c r="H339" s="47" t="s">
        <v>39</v>
      </c>
      <c r="I339" s="47" t="s">
        <v>145</v>
      </c>
      <c r="J339" s="47" t="s">
        <v>28</v>
      </c>
      <c r="K339" s="47" t="s">
        <v>34</v>
      </c>
    </row>
    <row r="340" customFormat="false" ht="15" hidden="false" customHeight="false" outlineLevel="0" collapsed="false">
      <c r="A340" s="0" t="s">
        <v>772</v>
      </c>
      <c r="B340" s="0" t="s">
        <v>478</v>
      </c>
      <c r="D340" s="46" t="n">
        <v>46113</v>
      </c>
      <c r="E340" s="47" t="s">
        <v>53</v>
      </c>
      <c r="F340" s="48" t="n">
        <v>134394.35</v>
      </c>
      <c r="G340" s="47" t="s">
        <v>65</v>
      </c>
      <c r="H340" s="47" t="s">
        <v>48</v>
      </c>
      <c r="I340" s="47" t="s">
        <v>114</v>
      </c>
      <c r="J340" s="47" t="s">
        <v>28</v>
      </c>
      <c r="K340" s="47" t="s">
        <v>34</v>
      </c>
    </row>
    <row r="341" customFormat="false" ht="15" hidden="false" customHeight="false" outlineLevel="0" collapsed="false">
      <c r="A341" s="0" t="s">
        <v>773</v>
      </c>
      <c r="B341" s="0" t="s">
        <v>774</v>
      </c>
      <c r="D341" s="46" t="n">
        <v>45779</v>
      </c>
      <c r="E341" s="47" t="s">
        <v>53</v>
      </c>
      <c r="F341" s="48" t="n">
        <v>43347.12</v>
      </c>
      <c r="G341" s="47" t="s">
        <v>65</v>
      </c>
      <c r="H341" s="47" t="s">
        <v>47</v>
      </c>
      <c r="I341" s="47" t="s">
        <v>245</v>
      </c>
      <c r="J341" s="47" t="s">
        <v>28</v>
      </c>
      <c r="K341" s="47" t="s">
        <v>34</v>
      </c>
    </row>
    <row r="342" customFormat="false" ht="15" hidden="false" customHeight="false" outlineLevel="0" collapsed="false">
      <c r="A342" s="0" t="s">
        <v>775</v>
      </c>
      <c r="B342" s="0" t="s">
        <v>747</v>
      </c>
      <c r="D342" s="46" t="n">
        <v>46024</v>
      </c>
      <c r="E342" s="47" t="s">
        <v>55</v>
      </c>
      <c r="F342" s="48" t="n">
        <v>21504.94</v>
      </c>
      <c r="G342" s="47" t="s">
        <v>68</v>
      </c>
      <c r="H342" s="47" t="s">
        <v>48</v>
      </c>
      <c r="I342" s="47" t="s">
        <v>114</v>
      </c>
      <c r="J342" s="47" t="s">
        <v>28</v>
      </c>
      <c r="K342" s="47" t="s">
        <v>34</v>
      </c>
    </row>
    <row r="343" customFormat="false" ht="15" hidden="false" customHeight="false" outlineLevel="0" collapsed="false">
      <c r="A343" s="0" t="s">
        <v>776</v>
      </c>
      <c r="B343" s="0" t="s">
        <v>777</v>
      </c>
      <c r="D343" s="46" t="n">
        <v>46016</v>
      </c>
      <c r="E343" s="47" t="s">
        <v>60</v>
      </c>
      <c r="F343" s="48" t="n">
        <v>79621.82</v>
      </c>
      <c r="G343" s="47" t="s">
        <v>57</v>
      </c>
      <c r="H343" s="47" t="s">
        <v>39</v>
      </c>
      <c r="I343" s="47" t="s">
        <v>177</v>
      </c>
      <c r="J343" s="47" t="s">
        <v>28</v>
      </c>
      <c r="K343" s="47" t="s">
        <v>34</v>
      </c>
    </row>
    <row r="344" customFormat="false" ht="15" hidden="false" customHeight="false" outlineLevel="0" collapsed="false">
      <c r="A344" s="0" t="s">
        <v>778</v>
      </c>
      <c r="B344" s="0" t="s">
        <v>280</v>
      </c>
      <c r="D344" s="46" t="n">
        <v>45846</v>
      </c>
      <c r="E344" s="47" t="s">
        <v>59</v>
      </c>
      <c r="F344" s="48" t="n">
        <v>157365.5</v>
      </c>
      <c r="G344" s="47" t="s">
        <v>68</v>
      </c>
      <c r="H344" s="47" t="s">
        <v>48</v>
      </c>
      <c r="I344" s="47" t="s">
        <v>212</v>
      </c>
      <c r="J344" s="47" t="s">
        <v>28</v>
      </c>
      <c r="K344" s="47" t="s">
        <v>34</v>
      </c>
    </row>
    <row r="345" customFormat="false" ht="15" hidden="false" customHeight="false" outlineLevel="0" collapsed="false">
      <c r="A345" s="0" t="s">
        <v>779</v>
      </c>
      <c r="B345" s="0" t="s">
        <v>286</v>
      </c>
      <c r="D345" s="46" t="n">
        <v>45942</v>
      </c>
      <c r="E345" s="47" t="s">
        <v>60</v>
      </c>
      <c r="F345" s="48" t="n">
        <v>91125.17</v>
      </c>
      <c r="G345" s="47" t="s">
        <v>65</v>
      </c>
      <c r="H345" s="47" t="s">
        <v>46</v>
      </c>
      <c r="I345" s="47" t="s">
        <v>121</v>
      </c>
      <c r="J345" s="47" t="s">
        <v>28</v>
      </c>
      <c r="K345" s="47" t="s">
        <v>34</v>
      </c>
    </row>
    <row r="346" customFormat="false" ht="15" hidden="false" customHeight="false" outlineLevel="0" collapsed="false">
      <c r="A346" s="0" t="s">
        <v>780</v>
      </c>
      <c r="B346" s="0" t="s">
        <v>555</v>
      </c>
      <c r="D346" s="46" t="n">
        <v>46054</v>
      </c>
      <c r="E346" s="47" t="s">
        <v>60</v>
      </c>
      <c r="F346" s="48" t="n">
        <v>58016.02</v>
      </c>
      <c r="G346" s="47" t="s">
        <v>68</v>
      </c>
      <c r="H346" s="47" t="s">
        <v>40</v>
      </c>
      <c r="I346" s="47" t="s">
        <v>89</v>
      </c>
      <c r="J346" s="47" t="s">
        <v>28</v>
      </c>
      <c r="K346" s="47" t="s">
        <v>34</v>
      </c>
    </row>
    <row r="347" customFormat="false" ht="15" hidden="false" customHeight="false" outlineLevel="0" collapsed="false">
      <c r="A347" s="0" t="s">
        <v>781</v>
      </c>
      <c r="B347" s="0" t="s">
        <v>782</v>
      </c>
      <c r="D347" s="46" t="n">
        <v>45821</v>
      </c>
      <c r="E347" s="47" t="s">
        <v>53</v>
      </c>
      <c r="F347" s="48" t="n">
        <v>130294.16</v>
      </c>
      <c r="G347" s="47" t="s">
        <v>65</v>
      </c>
      <c r="H347" s="47" t="s">
        <v>39</v>
      </c>
      <c r="I347" s="47" t="s">
        <v>98</v>
      </c>
      <c r="J347" s="47" t="s">
        <v>28</v>
      </c>
      <c r="K347" s="47" t="s">
        <v>34</v>
      </c>
    </row>
    <row r="348" customFormat="false" ht="15" hidden="false" customHeight="false" outlineLevel="0" collapsed="false">
      <c r="A348" s="0" t="s">
        <v>783</v>
      </c>
      <c r="B348" s="0" t="s">
        <v>538</v>
      </c>
      <c r="C348" s="0" t="s">
        <v>784</v>
      </c>
      <c r="D348" s="46" t="n">
        <v>45708</v>
      </c>
      <c r="E348" s="47" t="s">
        <v>59</v>
      </c>
      <c r="F348" s="48" t="n">
        <v>197952.51</v>
      </c>
      <c r="G348" s="47" t="s">
        <v>57</v>
      </c>
      <c r="H348" s="47" t="s">
        <v>46</v>
      </c>
      <c r="I348" s="47" t="s">
        <v>242</v>
      </c>
      <c r="J348" s="47" t="s">
        <v>28</v>
      </c>
      <c r="K348" s="47" t="s">
        <v>34</v>
      </c>
    </row>
    <row r="349" customFormat="false" ht="15" hidden="false" customHeight="false" outlineLevel="0" collapsed="false">
      <c r="A349" s="0" t="s">
        <v>785</v>
      </c>
      <c r="B349" s="0" t="s">
        <v>786</v>
      </c>
      <c r="D349" s="46" t="n">
        <v>46061</v>
      </c>
      <c r="E349" s="47" t="s">
        <v>61</v>
      </c>
      <c r="F349" s="48" t="n">
        <v>113008.14</v>
      </c>
      <c r="G349" s="47" t="s">
        <v>68</v>
      </c>
      <c r="H349" s="47" t="s">
        <v>48</v>
      </c>
      <c r="I349" s="47" t="s">
        <v>114</v>
      </c>
      <c r="J349" s="47" t="s">
        <v>28</v>
      </c>
      <c r="K349" s="47" t="s">
        <v>33</v>
      </c>
    </row>
    <row r="350" customFormat="false" ht="15" hidden="false" customHeight="false" outlineLevel="0" collapsed="false">
      <c r="A350" s="0" t="s">
        <v>787</v>
      </c>
      <c r="B350" s="0" t="s">
        <v>200</v>
      </c>
      <c r="D350" s="46" t="n">
        <v>45983</v>
      </c>
      <c r="E350" s="47" t="s">
        <v>53</v>
      </c>
      <c r="F350" s="48" t="n">
        <v>54595.17</v>
      </c>
      <c r="G350" s="47" t="s">
        <v>68</v>
      </c>
      <c r="H350" s="47" t="s">
        <v>43</v>
      </c>
      <c r="I350" s="47" t="s">
        <v>201</v>
      </c>
      <c r="J350" s="47" t="s">
        <v>28</v>
      </c>
      <c r="K350" s="47" t="s">
        <v>33</v>
      </c>
    </row>
    <row r="351" customFormat="false" ht="15" hidden="false" customHeight="false" outlineLevel="0" collapsed="false">
      <c r="A351" s="0" t="s">
        <v>788</v>
      </c>
      <c r="B351" s="0" t="s">
        <v>789</v>
      </c>
      <c r="D351" s="46" t="n">
        <v>45813</v>
      </c>
      <c r="E351" s="47" t="s">
        <v>60</v>
      </c>
      <c r="F351" s="48" t="n">
        <v>49696.05</v>
      </c>
      <c r="G351" s="47" t="s">
        <v>66</v>
      </c>
      <c r="H351" s="47" t="s">
        <v>45</v>
      </c>
      <c r="I351" s="47" t="s">
        <v>217</v>
      </c>
      <c r="J351" s="47" t="s">
        <v>30</v>
      </c>
      <c r="K351" s="47" t="s">
        <v>33</v>
      </c>
    </row>
    <row r="352" customFormat="false" ht="15" hidden="false" customHeight="false" outlineLevel="0" collapsed="false">
      <c r="A352" s="0" t="s">
        <v>790</v>
      </c>
      <c r="B352" s="0" t="s">
        <v>791</v>
      </c>
      <c r="C352" s="0" t="s">
        <v>792</v>
      </c>
      <c r="D352" s="46" t="n">
        <v>46116</v>
      </c>
      <c r="E352" s="47" t="s">
        <v>62</v>
      </c>
      <c r="F352" s="48" t="n">
        <v>43855.04</v>
      </c>
      <c r="G352" s="47" t="s">
        <v>57</v>
      </c>
      <c r="H352" s="47" t="s">
        <v>43</v>
      </c>
      <c r="I352" s="47" t="s">
        <v>102</v>
      </c>
      <c r="J352" s="47" t="s">
        <v>28</v>
      </c>
      <c r="K352" s="47" t="s">
        <v>34</v>
      </c>
    </row>
    <row r="353" customFormat="false" ht="15" hidden="false" customHeight="false" outlineLevel="0" collapsed="false">
      <c r="A353" s="0" t="s">
        <v>793</v>
      </c>
      <c r="B353" s="0" t="s">
        <v>690</v>
      </c>
      <c r="D353" s="46" t="n">
        <v>45843</v>
      </c>
      <c r="E353" s="47" t="s">
        <v>55</v>
      </c>
      <c r="F353" s="48" t="n">
        <v>42648.3</v>
      </c>
      <c r="G353" s="47" t="s">
        <v>68</v>
      </c>
      <c r="H353" s="47" t="s">
        <v>43</v>
      </c>
      <c r="I353" s="47" t="s">
        <v>201</v>
      </c>
      <c r="J353" s="47" t="s">
        <v>28</v>
      </c>
      <c r="K353" s="47" t="s">
        <v>34</v>
      </c>
    </row>
    <row r="354" customFormat="false" ht="15" hidden="false" customHeight="false" outlineLevel="0" collapsed="false">
      <c r="A354" s="0" t="s">
        <v>794</v>
      </c>
      <c r="B354" s="0" t="s">
        <v>795</v>
      </c>
      <c r="D354" s="46" t="n">
        <v>46019</v>
      </c>
      <c r="E354" s="47" t="s">
        <v>58</v>
      </c>
      <c r="F354" s="48" t="n">
        <v>179687.1</v>
      </c>
      <c r="G354" s="47" t="s">
        <v>57</v>
      </c>
      <c r="H354" s="47" t="s">
        <v>41</v>
      </c>
      <c r="I354" s="47" t="s">
        <v>272</v>
      </c>
      <c r="J354" s="47" t="s">
        <v>30</v>
      </c>
      <c r="K354" s="47" t="s">
        <v>33</v>
      </c>
    </row>
    <row r="355" customFormat="false" ht="15" hidden="false" customHeight="false" outlineLevel="0" collapsed="false">
      <c r="A355" s="0" t="s">
        <v>796</v>
      </c>
      <c r="B355" s="0" t="s">
        <v>797</v>
      </c>
      <c r="D355" s="46" t="n">
        <v>46294</v>
      </c>
      <c r="E355" s="47" t="s">
        <v>53</v>
      </c>
      <c r="F355" s="48" t="n">
        <v>91752.91</v>
      </c>
      <c r="G355" s="47" t="s">
        <v>53</v>
      </c>
      <c r="H355" s="47" t="s">
        <v>47</v>
      </c>
      <c r="I355" s="47" t="s">
        <v>166</v>
      </c>
      <c r="J355" s="47" t="s">
        <v>30</v>
      </c>
      <c r="K355" s="47" t="s">
        <v>34</v>
      </c>
    </row>
    <row r="356" customFormat="false" ht="15" hidden="false" customHeight="false" outlineLevel="0" collapsed="false">
      <c r="A356" s="0" t="s">
        <v>798</v>
      </c>
      <c r="B356" s="0" t="s">
        <v>799</v>
      </c>
      <c r="D356" s="46" t="n">
        <v>46032</v>
      </c>
      <c r="E356" s="47" t="s">
        <v>62</v>
      </c>
      <c r="F356" s="48" t="n">
        <v>154847.05</v>
      </c>
      <c r="G356" s="47" t="s">
        <v>57</v>
      </c>
      <c r="H356" s="47" t="s">
        <v>41</v>
      </c>
      <c r="I356" s="47" t="s">
        <v>86</v>
      </c>
      <c r="J356" s="47" t="s">
        <v>28</v>
      </c>
      <c r="K356" s="47" t="s">
        <v>34</v>
      </c>
    </row>
    <row r="357" customFormat="false" ht="15" hidden="false" customHeight="false" outlineLevel="0" collapsed="false">
      <c r="A357" s="0" t="s">
        <v>800</v>
      </c>
      <c r="B357" s="0" t="s">
        <v>207</v>
      </c>
      <c r="D357" s="46" t="n">
        <v>45952</v>
      </c>
      <c r="E357" s="47" t="s">
        <v>59</v>
      </c>
      <c r="F357" s="48" t="n">
        <v>124590.1</v>
      </c>
      <c r="G357" s="47" t="s">
        <v>65</v>
      </c>
      <c r="H357" s="47" t="s">
        <v>45</v>
      </c>
      <c r="I357" s="47" t="s">
        <v>151</v>
      </c>
      <c r="J357" s="47" t="s">
        <v>29</v>
      </c>
      <c r="K357" s="47" t="s">
        <v>33</v>
      </c>
    </row>
    <row r="358" customFormat="false" ht="15" hidden="false" customHeight="false" outlineLevel="0" collapsed="false">
      <c r="A358" s="0" t="s">
        <v>801</v>
      </c>
      <c r="B358" s="0" t="s">
        <v>500</v>
      </c>
      <c r="D358" s="46" t="n">
        <v>45813</v>
      </c>
      <c r="E358" s="47" t="s">
        <v>62</v>
      </c>
      <c r="F358" s="48" t="n">
        <v>147413.69</v>
      </c>
      <c r="G358" s="47" t="s">
        <v>65</v>
      </c>
      <c r="H358" s="47" t="s">
        <v>48</v>
      </c>
      <c r="I358" s="47" t="s">
        <v>111</v>
      </c>
      <c r="J358" s="47" t="s">
        <v>28</v>
      </c>
      <c r="K358" s="47" t="s">
        <v>34</v>
      </c>
    </row>
    <row r="359" customFormat="false" ht="15" hidden="false" customHeight="false" outlineLevel="0" collapsed="false">
      <c r="A359" s="0" t="s">
        <v>802</v>
      </c>
      <c r="B359" s="0" t="s">
        <v>540</v>
      </c>
      <c r="D359" s="46" t="n">
        <v>45725</v>
      </c>
      <c r="E359" s="47" t="s">
        <v>61</v>
      </c>
      <c r="F359" s="48" t="n">
        <v>106367.98</v>
      </c>
      <c r="G359" s="47" t="s">
        <v>53</v>
      </c>
      <c r="H359" s="47" t="s">
        <v>39</v>
      </c>
      <c r="I359" s="47" t="s">
        <v>145</v>
      </c>
      <c r="J359" s="47" t="s">
        <v>28</v>
      </c>
      <c r="K359" s="47" t="s">
        <v>34</v>
      </c>
    </row>
    <row r="360" customFormat="false" ht="15" hidden="false" customHeight="false" outlineLevel="0" collapsed="false">
      <c r="A360" s="0" t="s">
        <v>803</v>
      </c>
      <c r="B360" s="0" t="s">
        <v>804</v>
      </c>
      <c r="D360" s="46" t="n">
        <v>45800</v>
      </c>
      <c r="E360" s="47" t="s">
        <v>60</v>
      </c>
      <c r="F360" s="48" t="n">
        <v>174067.61</v>
      </c>
      <c r="G360" s="47" t="s">
        <v>53</v>
      </c>
      <c r="H360" s="47" t="s">
        <v>40</v>
      </c>
      <c r="I360" s="47" t="s">
        <v>83</v>
      </c>
      <c r="J360" s="47" t="s">
        <v>28</v>
      </c>
      <c r="K360" s="47" t="s">
        <v>33</v>
      </c>
    </row>
    <row r="361" customFormat="false" ht="15" hidden="false" customHeight="false" outlineLevel="0" collapsed="false">
      <c r="A361" s="0" t="s">
        <v>805</v>
      </c>
      <c r="B361" s="0" t="s">
        <v>806</v>
      </c>
      <c r="D361" s="46" t="n">
        <v>45944</v>
      </c>
      <c r="E361" s="47" t="s">
        <v>53</v>
      </c>
      <c r="F361" s="48" t="n">
        <v>165417.22</v>
      </c>
      <c r="G361" s="47" t="s">
        <v>65</v>
      </c>
      <c r="H361" s="47" t="s">
        <v>47</v>
      </c>
      <c r="I361" s="47" t="s">
        <v>108</v>
      </c>
      <c r="J361" s="47" t="s">
        <v>29</v>
      </c>
      <c r="K361" s="47" t="s">
        <v>33</v>
      </c>
    </row>
    <row r="362" customFormat="false" ht="15" hidden="false" customHeight="false" outlineLevel="0" collapsed="false">
      <c r="A362" s="0" t="s">
        <v>807</v>
      </c>
      <c r="B362" s="0" t="s">
        <v>808</v>
      </c>
      <c r="D362" s="46" t="n">
        <v>46273</v>
      </c>
      <c r="E362" s="47" t="s">
        <v>55</v>
      </c>
      <c r="F362" s="48" t="n">
        <v>62845.28</v>
      </c>
      <c r="G362" s="47" t="s">
        <v>66</v>
      </c>
      <c r="H362" s="47" t="s">
        <v>44</v>
      </c>
      <c r="I362" s="47" t="s">
        <v>80</v>
      </c>
      <c r="J362" s="47" t="s">
        <v>28</v>
      </c>
      <c r="K362" s="47" t="s">
        <v>33</v>
      </c>
    </row>
    <row r="363" customFormat="false" ht="15" hidden="false" customHeight="false" outlineLevel="0" collapsed="false">
      <c r="A363" s="0" t="s">
        <v>809</v>
      </c>
      <c r="B363" s="0" t="s">
        <v>810</v>
      </c>
      <c r="D363" s="46" t="n">
        <v>46154</v>
      </c>
      <c r="E363" s="47" t="s">
        <v>60</v>
      </c>
      <c r="F363" s="48" t="n">
        <v>160650.8</v>
      </c>
      <c r="G363" s="47" t="s">
        <v>65</v>
      </c>
      <c r="H363" s="47" t="s">
        <v>47</v>
      </c>
      <c r="I363" s="47" t="s">
        <v>166</v>
      </c>
      <c r="J363" s="47" t="s">
        <v>28</v>
      </c>
      <c r="K363" s="47" t="s">
        <v>34</v>
      </c>
    </row>
    <row r="364" customFormat="false" ht="15" hidden="false" customHeight="false" outlineLevel="0" collapsed="false">
      <c r="A364" s="0" t="s">
        <v>811</v>
      </c>
      <c r="B364" s="0" t="s">
        <v>812</v>
      </c>
      <c r="D364" s="46" t="n">
        <v>46071</v>
      </c>
      <c r="E364" s="47" t="s">
        <v>62</v>
      </c>
      <c r="F364" s="48" t="n">
        <v>169837.87</v>
      </c>
      <c r="G364" s="47" t="s">
        <v>66</v>
      </c>
      <c r="H364" s="47" t="s">
        <v>43</v>
      </c>
      <c r="I364" s="47" t="s">
        <v>201</v>
      </c>
      <c r="J364" s="47" t="s">
        <v>28</v>
      </c>
      <c r="K364" s="47" t="s">
        <v>33</v>
      </c>
    </row>
    <row r="365" customFormat="false" ht="15" hidden="false" customHeight="false" outlineLevel="0" collapsed="false">
      <c r="A365" s="0" t="s">
        <v>813</v>
      </c>
      <c r="B365" s="0" t="s">
        <v>814</v>
      </c>
      <c r="D365" s="46" t="n">
        <v>46132</v>
      </c>
      <c r="E365" s="47" t="s">
        <v>61</v>
      </c>
      <c r="F365" s="48" t="n">
        <v>152202.99</v>
      </c>
      <c r="G365" s="47" t="s">
        <v>57</v>
      </c>
      <c r="H365" s="47" t="s">
        <v>41</v>
      </c>
      <c r="I365" s="47" t="s">
        <v>293</v>
      </c>
      <c r="J365" s="47" t="s">
        <v>28</v>
      </c>
      <c r="K365" s="47" t="s">
        <v>34</v>
      </c>
    </row>
    <row r="366" customFormat="false" ht="15" hidden="false" customHeight="false" outlineLevel="0" collapsed="false">
      <c r="A366" s="0" t="s">
        <v>815</v>
      </c>
      <c r="B366" s="0" t="s">
        <v>758</v>
      </c>
      <c r="C366" s="0" t="s">
        <v>816</v>
      </c>
      <c r="D366" s="46" t="n">
        <v>45983</v>
      </c>
      <c r="E366" s="47" t="s">
        <v>61</v>
      </c>
      <c r="F366" s="48" t="n">
        <v>90148.99</v>
      </c>
      <c r="G366" s="47" t="s">
        <v>65</v>
      </c>
      <c r="H366" s="47" t="s">
        <v>39</v>
      </c>
      <c r="I366" s="47" t="s">
        <v>177</v>
      </c>
      <c r="J366" s="47" t="s">
        <v>28</v>
      </c>
      <c r="K366" s="47" t="s">
        <v>34</v>
      </c>
    </row>
    <row r="367" customFormat="false" ht="15" hidden="false" customHeight="false" outlineLevel="0" collapsed="false">
      <c r="A367" s="0" t="s">
        <v>817</v>
      </c>
      <c r="B367" s="0" t="s">
        <v>818</v>
      </c>
      <c r="D367" s="46" t="n">
        <v>45690</v>
      </c>
      <c r="E367" s="47" t="s">
        <v>58</v>
      </c>
      <c r="F367" s="48" t="n">
        <v>9056.16</v>
      </c>
      <c r="G367" s="47" t="s">
        <v>53</v>
      </c>
      <c r="H367" s="47" t="s">
        <v>42</v>
      </c>
      <c r="I367" s="47" t="s">
        <v>137</v>
      </c>
      <c r="J367" s="47" t="s">
        <v>28</v>
      </c>
      <c r="K367" s="47" t="s">
        <v>34</v>
      </c>
    </row>
    <row r="368" customFormat="false" ht="15" hidden="false" customHeight="false" outlineLevel="0" collapsed="false">
      <c r="A368" s="0" t="s">
        <v>819</v>
      </c>
      <c r="B368" s="0" t="s">
        <v>820</v>
      </c>
      <c r="D368" s="46" t="n">
        <v>45910</v>
      </c>
      <c r="E368" s="47" t="s">
        <v>55</v>
      </c>
      <c r="F368" s="48" t="n">
        <v>24166.98</v>
      </c>
      <c r="G368" s="47" t="s">
        <v>68</v>
      </c>
      <c r="H368" s="47" t="s">
        <v>44</v>
      </c>
      <c r="I368" s="47" t="s">
        <v>132</v>
      </c>
      <c r="J368" s="47" t="s">
        <v>28</v>
      </c>
      <c r="K368" s="47" t="s">
        <v>33</v>
      </c>
    </row>
    <row r="369" customFormat="false" ht="15" hidden="false" customHeight="false" outlineLevel="0" collapsed="false">
      <c r="A369" s="0" t="s">
        <v>821</v>
      </c>
      <c r="B369" s="0" t="s">
        <v>822</v>
      </c>
      <c r="D369" s="46" t="n">
        <v>45731</v>
      </c>
      <c r="E369" s="47" t="s">
        <v>58</v>
      </c>
      <c r="F369" s="48" t="n">
        <v>118206.38</v>
      </c>
      <c r="G369" s="47" t="s">
        <v>66</v>
      </c>
      <c r="H369" s="47" t="s">
        <v>42</v>
      </c>
      <c r="I369" s="47" t="s">
        <v>398</v>
      </c>
      <c r="J369" s="47" t="s">
        <v>30</v>
      </c>
      <c r="K369" s="47" t="s">
        <v>33</v>
      </c>
    </row>
    <row r="370" customFormat="false" ht="15" hidden="false" customHeight="false" outlineLevel="0" collapsed="false">
      <c r="A370" s="0" t="s">
        <v>823</v>
      </c>
      <c r="B370" s="0" t="s">
        <v>824</v>
      </c>
      <c r="D370" s="46" t="n">
        <v>46275</v>
      </c>
      <c r="E370" s="47" t="s">
        <v>60</v>
      </c>
      <c r="F370" s="48" t="n">
        <v>24237.92</v>
      </c>
      <c r="G370" s="47" t="s">
        <v>66</v>
      </c>
      <c r="H370" s="47" t="s">
        <v>48</v>
      </c>
      <c r="I370" s="47" t="s">
        <v>212</v>
      </c>
      <c r="J370" s="47" t="s">
        <v>28</v>
      </c>
      <c r="K370" s="47" t="s">
        <v>34</v>
      </c>
    </row>
    <row r="371" customFormat="false" ht="15" hidden="false" customHeight="false" outlineLevel="0" collapsed="false">
      <c r="A371" s="0" t="s">
        <v>825</v>
      </c>
      <c r="B371" s="0" t="s">
        <v>826</v>
      </c>
      <c r="D371" s="46" t="n">
        <v>46285</v>
      </c>
      <c r="E371" s="47" t="s">
        <v>59</v>
      </c>
      <c r="F371" s="48" t="n">
        <v>78384.5</v>
      </c>
      <c r="G371" s="47" t="s">
        <v>66</v>
      </c>
      <c r="H371" s="47" t="s">
        <v>42</v>
      </c>
      <c r="I371" s="47" t="s">
        <v>105</v>
      </c>
      <c r="J371" s="47" t="s">
        <v>28</v>
      </c>
      <c r="K371" s="47" t="s">
        <v>33</v>
      </c>
    </row>
    <row r="372" customFormat="false" ht="15" hidden="false" customHeight="false" outlineLevel="0" collapsed="false">
      <c r="A372" s="0" t="s">
        <v>827</v>
      </c>
      <c r="B372" s="0" t="s">
        <v>828</v>
      </c>
      <c r="D372" s="46" t="n">
        <v>45712</v>
      </c>
      <c r="E372" s="47" t="s">
        <v>53</v>
      </c>
      <c r="F372" s="48" t="n">
        <v>49000.95</v>
      </c>
      <c r="G372" s="47" t="s">
        <v>57</v>
      </c>
      <c r="H372" s="47" t="s">
        <v>45</v>
      </c>
      <c r="I372" s="47" t="s">
        <v>217</v>
      </c>
      <c r="J372" s="47" t="s">
        <v>28</v>
      </c>
      <c r="K372" s="47" t="s">
        <v>33</v>
      </c>
    </row>
    <row r="373" customFormat="false" ht="15" hidden="false" customHeight="false" outlineLevel="0" collapsed="false">
      <c r="A373" s="0" t="s">
        <v>829</v>
      </c>
      <c r="B373" s="0" t="s">
        <v>830</v>
      </c>
      <c r="D373" s="46" t="n">
        <v>46042</v>
      </c>
      <c r="E373" s="47" t="s">
        <v>59</v>
      </c>
      <c r="F373" s="48" t="n">
        <v>126719.49</v>
      </c>
      <c r="G373" s="47" t="s">
        <v>57</v>
      </c>
      <c r="H373" s="47" t="s">
        <v>48</v>
      </c>
      <c r="I373" s="47" t="s">
        <v>212</v>
      </c>
      <c r="J373" s="47" t="s">
        <v>28</v>
      </c>
      <c r="K373" s="47" t="s">
        <v>34</v>
      </c>
    </row>
    <row r="374" customFormat="false" ht="15" hidden="false" customHeight="false" outlineLevel="0" collapsed="false">
      <c r="A374" s="0" t="s">
        <v>831</v>
      </c>
      <c r="B374" s="0" t="s">
        <v>373</v>
      </c>
      <c r="D374" s="46" t="n">
        <v>45662</v>
      </c>
      <c r="E374" s="47" t="s">
        <v>61</v>
      </c>
      <c r="F374" s="48" t="n">
        <v>17852.66</v>
      </c>
      <c r="G374" s="47" t="s">
        <v>66</v>
      </c>
      <c r="H374" s="47" t="s">
        <v>43</v>
      </c>
      <c r="I374" s="47" t="s">
        <v>102</v>
      </c>
      <c r="J374" s="47" t="s">
        <v>28</v>
      </c>
      <c r="K374" s="47" t="s">
        <v>34</v>
      </c>
    </row>
    <row r="375" customFormat="false" ht="15" hidden="false" customHeight="false" outlineLevel="0" collapsed="false">
      <c r="A375" s="0" t="s">
        <v>832</v>
      </c>
      <c r="B375" s="0" t="s">
        <v>833</v>
      </c>
      <c r="D375" s="46" t="n">
        <v>45783</v>
      </c>
      <c r="E375" s="47" t="s">
        <v>61</v>
      </c>
      <c r="F375" s="48" t="n">
        <v>103627.68</v>
      </c>
      <c r="G375" s="47" t="s">
        <v>53</v>
      </c>
      <c r="H375" s="47" t="s">
        <v>39</v>
      </c>
      <c r="I375" s="47" t="s">
        <v>177</v>
      </c>
      <c r="J375" s="47" t="s">
        <v>28</v>
      </c>
      <c r="K375" s="47" t="s">
        <v>34</v>
      </c>
    </row>
    <row r="376" customFormat="false" ht="15" hidden="false" customHeight="false" outlineLevel="0" collapsed="false">
      <c r="A376" s="0" t="s">
        <v>834</v>
      </c>
      <c r="B376" s="0" t="s">
        <v>542</v>
      </c>
      <c r="D376" s="46" t="n">
        <v>46180</v>
      </c>
      <c r="E376" s="47" t="s">
        <v>59</v>
      </c>
      <c r="F376" s="48" t="n">
        <v>14624.69</v>
      </c>
      <c r="G376" s="47" t="s">
        <v>57</v>
      </c>
      <c r="H376" s="47" t="s">
        <v>42</v>
      </c>
      <c r="I376" s="47" t="s">
        <v>398</v>
      </c>
      <c r="J376" s="47" t="s">
        <v>28</v>
      </c>
      <c r="K376" s="47" t="s">
        <v>33</v>
      </c>
    </row>
    <row r="377" customFormat="false" ht="15" hidden="false" customHeight="false" outlineLevel="0" collapsed="false">
      <c r="A377" s="0" t="s">
        <v>835</v>
      </c>
      <c r="B377" s="0" t="s">
        <v>88</v>
      </c>
      <c r="D377" s="46" t="n">
        <v>45779</v>
      </c>
      <c r="E377" s="47" t="s">
        <v>58</v>
      </c>
      <c r="F377" s="48" t="n">
        <v>139157.52</v>
      </c>
      <c r="G377" s="47" t="s">
        <v>57</v>
      </c>
      <c r="H377" s="47" t="s">
        <v>40</v>
      </c>
      <c r="I377" s="47" t="s">
        <v>89</v>
      </c>
      <c r="J377" s="47" t="s">
        <v>28</v>
      </c>
      <c r="K377" s="47" t="s">
        <v>34</v>
      </c>
    </row>
    <row r="378" customFormat="false" ht="15" hidden="false" customHeight="false" outlineLevel="0" collapsed="false">
      <c r="A378" s="0" t="s">
        <v>836</v>
      </c>
      <c r="B378" s="0" t="s">
        <v>837</v>
      </c>
      <c r="D378" s="46" t="n">
        <v>46238</v>
      </c>
      <c r="E378" s="47" t="s">
        <v>59</v>
      </c>
      <c r="F378" s="48" t="n">
        <v>5876.2</v>
      </c>
      <c r="G378" s="47" t="s">
        <v>57</v>
      </c>
      <c r="H378" s="47" t="s">
        <v>39</v>
      </c>
      <c r="I378" s="47" t="s">
        <v>177</v>
      </c>
      <c r="J378" s="47" t="s">
        <v>28</v>
      </c>
      <c r="K378" s="47" t="s">
        <v>34</v>
      </c>
    </row>
    <row r="379" customFormat="false" ht="15" hidden="false" customHeight="false" outlineLevel="0" collapsed="false">
      <c r="A379" s="0" t="s">
        <v>838</v>
      </c>
      <c r="B379" s="0" t="s">
        <v>141</v>
      </c>
      <c r="D379" s="46" t="n">
        <v>46285</v>
      </c>
      <c r="E379" s="47" t="s">
        <v>62</v>
      </c>
      <c r="F379" s="48" t="n">
        <v>107513.89</v>
      </c>
      <c r="G379" s="47" t="s">
        <v>57</v>
      </c>
      <c r="H379" s="47" t="s">
        <v>48</v>
      </c>
      <c r="I379" s="47" t="s">
        <v>111</v>
      </c>
      <c r="J379" s="47" t="s">
        <v>28</v>
      </c>
      <c r="K379" s="47" t="s">
        <v>34</v>
      </c>
    </row>
    <row r="380" customFormat="false" ht="15" hidden="false" customHeight="false" outlineLevel="0" collapsed="false">
      <c r="A380" s="0" t="s">
        <v>839</v>
      </c>
      <c r="B380" s="0" t="s">
        <v>669</v>
      </c>
      <c r="D380" s="46" t="n">
        <v>45823</v>
      </c>
      <c r="E380" s="47" t="s">
        <v>58</v>
      </c>
      <c r="F380" s="48" t="n">
        <v>8719.44</v>
      </c>
      <c r="G380" s="47" t="s">
        <v>53</v>
      </c>
      <c r="H380" s="47" t="s">
        <v>40</v>
      </c>
      <c r="I380" s="47" t="s">
        <v>83</v>
      </c>
      <c r="J380" s="47" t="s">
        <v>28</v>
      </c>
      <c r="K380" s="47" t="s">
        <v>34</v>
      </c>
    </row>
    <row r="381" customFormat="false" ht="15" hidden="false" customHeight="false" outlineLevel="0" collapsed="false">
      <c r="A381" s="0" t="s">
        <v>840</v>
      </c>
      <c r="B381" s="0" t="s">
        <v>621</v>
      </c>
      <c r="D381" s="46" t="n">
        <v>46088</v>
      </c>
      <c r="E381" s="47" t="s">
        <v>60</v>
      </c>
      <c r="F381" s="48" t="n">
        <v>87139.13</v>
      </c>
      <c r="G381" s="47" t="s">
        <v>68</v>
      </c>
      <c r="H381" s="47" t="s">
        <v>44</v>
      </c>
      <c r="I381" s="47" t="s">
        <v>226</v>
      </c>
      <c r="J381" s="47" t="s">
        <v>28</v>
      </c>
      <c r="K381" s="47" t="s">
        <v>34</v>
      </c>
    </row>
    <row r="382" customFormat="false" ht="15" hidden="false" customHeight="false" outlineLevel="0" collapsed="false">
      <c r="A382" s="0" t="s">
        <v>841</v>
      </c>
      <c r="B382" s="0" t="s">
        <v>842</v>
      </c>
      <c r="D382" s="46" t="n">
        <v>45911</v>
      </c>
      <c r="E382" s="47" t="s">
        <v>61</v>
      </c>
      <c r="F382" s="48" t="n">
        <v>170842.6</v>
      </c>
      <c r="G382" s="47" t="s">
        <v>68</v>
      </c>
      <c r="H382" s="47" t="s">
        <v>48</v>
      </c>
      <c r="I382" s="47" t="s">
        <v>212</v>
      </c>
      <c r="J382" s="47" t="s">
        <v>28</v>
      </c>
      <c r="K382" s="47" t="s">
        <v>34</v>
      </c>
    </row>
    <row r="383" customFormat="false" ht="15" hidden="false" customHeight="false" outlineLevel="0" collapsed="false">
      <c r="A383" s="0" t="s">
        <v>843</v>
      </c>
      <c r="B383" s="0" t="s">
        <v>844</v>
      </c>
      <c r="D383" s="46" t="n">
        <v>45722</v>
      </c>
      <c r="E383" s="47" t="s">
        <v>62</v>
      </c>
      <c r="F383" s="48" t="n">
        <v>120142.92</v>
      </c>
      <c r="G383" s="47" t="s">
        <v>66</v>
      </c>
      <c r="H383" s="47" t="s">
        <v>45</v>
      </c>
      <c r="I383" s="47" t="s">
        <v>217</v>
      </c>
      <c r="J383" s="47" t="s">
        <v>28</v>
      </c>
      <c r="K383" s="47" t="s">
        <v>34</v>
      </c>
    </row>
    <row r="384" customFormat="false" ht="15" hidden="false" customHeight="false" outlineLevel="0" collapsed="false">
      <c r="A384" s="0" t="s">
        <v>845</v>
      </c>
      <c r="B384" s="0" t="s">
        <v>846</v>
      </c>
      <c r="D384" s="46" t="n">
        <v>45792</v>
      </c>
      <c r="E384" s="47" t="s">
        <v>61</v>
      </c>
      <c r="F384" s="48" t="n">
        <v>196339.56</v>
      </c>
      <c r="G384" s="47" t="s">
        <v>65</v>
      </c>
      <c r="H384" s="47" t="s">
        <v>42</v>
      </c>
      <c r="I384" s="47" t="s">
        <v>398</v>
      </c>
      <c r="J384" s="47" t="s">
        <v>28</v>
      </c>
      <c r="K384" s="47" t="s">
        <v>33</v>
      </c>
    </row>
    <row r="385" customFormat="false" ht="15" hidden="false" customHeight="false" outlineLevel="0" collapsed="false">
      <c r="A385" s="0" t="s">
        <v>847</v>
      </c>
      <c r="B385" s="0" t="s">
        <v>848</v>
      </c>
      <c r="C385" s="0" t="s">
        <v>849</v>
      </c>
      <c r="D385" s="46" t="n">
        <v>45795</v>
      </c>
      <c r="E385" s="47" t="s">
        <v>55</v>
      </c>
      <c r="F385" s="48" t="n">
        <v>156221.74</v>
      </c>
      <c r="G385" s="47" t="s">
        <v>57</v>
      </c>
      <c r="H385" s="47" t="s">
        <v>43</v>
      </c>
      <c r="I385" s="47" t="s">
        <v>117</v>
      </c>
      <c r="J385" s="47" t="s">
        <v>28</v>
      </c>
      <c r="K385" s="47" t="s">
        <v>34</v>
      </c>
    </row>
    <row r="386" customFormat="false" ht="15" hidden="false" customHeight="false" outlineLevel="0" collapsed="false">
      <c r="A386" s="0" t="s">
        <v>850</v>
      </c>
      <c r="B386" s="0" t="s">
        <v>851</v>
      </c>
      <c r="D386" s="46" t="n">
        <v>46141</v>
      </c>
      <c r="E386" s="47" t="s">
        <v>55</v>
      </c>
      <c r="F386" s="48" t="n">
        <v>140892.08</v>
      </c>
      <c r="G386" s="47" t="s">
        <v>66</v>
      </c>
      <c r="H386" s="47" t="s">
        <v>46</v>
      </c>
      <c r="I386" s="47" t="s">
        <v>148</v>
      </c>
      <c r="J386" s="47" t="s">
        <v>29</v>
      </c>
      <c r="K386" s="47" t="s">
        <v>33</v>
      </c>
    </row>
    <row r="387" customFormat="false" ht="15" hidden="false" customHeight="false" outlineLevel="0" collapsed="false">
      <c r="A387" s="0" t="s">
        <v>852</v>
      </c>
      <c r="B387" s="0" t="s">
        <v>853</v>
      </c>
      <c r="D387" s="46" t="n">
        <v>45679</v>
      </c>
      <c r="E387" s="47" t="s">
        <v>53</v>
      </c>
      <c r="F387" s="48" t="n">
        <v>32223.97</v>
      </c>
      <c r="G387" s="47" t="s">
        <v>68</v>
      </c>
      <c r="H387" s="47" t="s">
        <v>44</v>
      </c>
      <c r="I387" s="47" t="s">
        <v>132</v>
      </c>
      <c r="J387" s="47" t="s">
        <v>28</v>
      </c>
      <c r="K387" s="47" t="s">
        <v>33</v>
      </c>
    </row>
    <row r="388" customFormat="false" ht="15" hidden="false" customHeight="false" outlineLevel="0" collapsed="false">
      <c r="A388" s="0" t="s">
        <v>854</v>
      </c>
      <c r="B388" s="0" t="s">
        <v>855</v>
      </c>
      <c r="C388" s="0" t="s">
        <v>856</v>
      </c>
      <c r="D388" s="46" t="n">
        <v>45958</v>
      </c>
      <c r="E388" s="47" t="s">
        <v>55</v>
      </c>
      <c r="F388" s="48" t="n">
        <v>190039.39</v>
      </c>
      <c r="G388" s="47" t="s">
        <v>68</v>
      </c>
      <c r="H388" s="47" t="s">
        <v>41</v>
      </c>
      <c r="I388" s="47" t="s">
        <v>86</v>
      </c>
      <c r="J388" s="47" t="s">
        <v>28</v>
      </c>
      <c r="K388" s="47" t="s">
        <v>34</v>
      </c>
    </row>
    <row r="389" customFormat="false" ht="15" hidden="false" customHeight="false" outlineLevel="0" collapsed="false">
      <c r="A389" s="0" t="s">
        <v>857</v>
      </c>
      <c r="B389" s="0" t="s">
        <v>511</v>
      </c>
      <c r="D389" s="46" t="n">
        <v>46252</v>
      </c>
      <c r="E389" s="47" t="s">
        <v>58</v>
      </c>
      <c r="F389" s="48" t="n">
        <v>163935.51</v>
      </c>
      <c r="G389" s="47" t="s">
        <v>65</v>
      </c>
      <c r="H389" s="47" t="s">
        <v>40</v>
      </c>
      <c r="I389" s="47" t="s">
        <v>89</v>
      </c>
      <c r="J389" s="47" t="s">
        <v>28</v>
      </c>
      <c r="K389" s="47" t="s">
        <v>34</v>
      </c>
    </row>
    <row r="390" customFormat="false" ht="15" hidden="false" customHeight="false" outlineLevel="0" collapsed="false">
      <c r="A390" s="0" t="s">
        <v>858</v>
      </c>
      <c r="B390" s="0" t="s">
        <v>859</v>
      </c>
      <c r="C390" s="0" t="s">
        <v>860</v>
      </c>
      <c r="D390" s="46" t="n">
        <v>45783</v>
      </c>
      <c r="E390" s="47" t="s">
        <v>55</v>
      </c>
      <c r="F390" s="48" t="n">
        <v>115843.79</v>
      </c>
      <c r="G390" s="47" t="s">
        <v>66</v>
      </c>
      <c r="H390" s="47" t="s">
        <v>43</v>
      </c>
      <c r="I390" s="47" t="s">
        <v>117</v>
      </c>
      <c r="J390" s="47" t="s">
        <v>28</v>
      </c>
      <c r="K390" s="47" t="s">
        <v>34</v>
      </c>
    </row>
    <row r="391" customFormat="false" ht="15" hidden="false" customHeight="false" outlineLevel="0" collapsed="false">
      <c r="A391" s="0" t="s">
        <v>861</v>
      </c>
      <c r="B391" s="0" t="s">
        <v>862</v>
      </c>
      <c r="D391" s="46" t="n">
        <v>46041</v>
      </c>
      <c r="E391" s="47" t="s">
        <v>53</v>
      </c>
      <c r="F391" s="48" t="n">
        <v>25270.32</v>
      </c>
      <c r="G391" s="47" t="s">
        <v>66</v>
      </c>
      <c r="H391" s="47" t="s">
        <v>45</v>
      </c>
      <c r="I391" s="47" t="s">
        <v>95</v>
      </c>
      <c r="J391" s="47" t="s">
        <v>28</v>
      </c>
      <c r="K391" s="47" t="s">
        <v>34</v>
      </c>
    </row>
    <row r="392" customFormat="false" ht="15" hidden="false" customHeight="false" outlineLevel="0" collapsed="false">
      <c r="A392" s="0" t="s">
        <v>863</v>
      </c>
      <c r="B392" s="0" t="s">
        <v>864</v>
      </c>
      <c r="D392" s="46" t="n">
        <v>46010</v>
      </c>
      <c r="E392" s="47" t="s">
        <v>53</v>
      </c>
      <c r="F392" s="48" t="n">
        <v>129814.77</v>
      </c>
      <c r="G392" s="47" t="s">
        <v>57</v>
      </c>
      <c r="H392" s="47" t="s">
        <v>43</v>
      </c>
      <c r="I392" s="47" t="s">
        <v>201</v>
      </c>
      <c r="J392" s="47" t="s">
        <v>28</v>
      </c>
      <c r="K392" s="47" t="s">
        <v>34</v>
      </c>
    </row>
    <row r="393" customFormat="false" ht="15" hidden="false" customHeight="false" outlineLevel="0" collapsed="false">
      <c r="A393" s="0" t="s">
        <v>865</v>
      </c>
      <c r="B393" s="0" t="s">
        <v>866</v>
      </c>
      <c r="D393" s="46" t="n">
        <v>45804</v>
      </c>
      <c r="E393" s="47" t="s">
        <v>59</v>
      </c>
      <c r="F393" s="48" t="n">
        <v>50835.11</v>
      </c>
      <c r="G393" s="47" t="s">
        <v>57</v>
      </c>
      <c r="H393" s="47" t="s">
        <v>46</v>
      </c>
      <c r="I393" s="47" t="s">
        <v>242</v>
      </c>
      <c r="J393" s="47" t="s">
        <v>30</v>
      </c>
      <c r="K393" s="47" t="s">
        <v>33</v>
      </c>
    </row>
    <row r="394" customFormat="false" ht="15" hidden="false" customHeight="false" outlineLevel="0" collapsed="false">
      <c r="A394" s="0" t="s">
        <v>867</v>
      </c>
      <c r="B394" s="0" t="s">
        <v>868</v>
      </c>
      <c r="D394" s="46" t="n">
        <v>46208</v>
      </c>
      <c r="E394" s="47" t="s">
        <v>55</v>
      </c>
      <c r="F394" s="48" t="n">
        <v>116616.48</v>
      </c>
      <c r="G394" s="47" t="s">
        <v>57</v>
      </c>
      <c r="H394" s="47" t="s">
        <v>46</v>
      </c>
      <c r="I394" s="47" t="s">
        <v>121</v>
      </c>
      <c r="J394" s="47" t="s">
        <v>28</v>
      </c>
      <c r="K394" s="47" t="s">
        <v>33</v>
      </c>
    </row>
    <row r="395" customFormat="false" ht="15" hidden="false" customHeight="false" outlineLevel="0" collapsed="false">
      <c r="A395" s="0" t="s">
        <v>869</v>
      </c>
      <c r="B395" s="0" t="s">
        <v>870</v>
      </c>
      <c r="D395" s="46" t="n">
        <v>45713</v>
      </c>
      <c r="E395" s="47" t="s">
        <v>53</v>
      </c>
      <c r="F395" s="48" t="n">
        <v>82503.3</v>
      </c>
      <c r="G395" s="47" t="s">
        <v>68</v>
      </c>
      <c r="H395" s="47" t="s">
        <v>48</v>
      </c>
      <c r="I395" s="47" t="s">
        <v>114</v>
      </c>
      <c r="J395" s="47" t="s">
        <v>28</v>
      </c>
      <c r="K395" s="47" t="s">
        <v>34</v>
      </c>
    </row>
    <row r="396" customFormat="false" ht="15" hidden="false" customHeight="false" outlineLevel="0" collapsed="false">
      <c r="A396" s="0" t="s">
        <v>871</v>
      </c>
      <c r="B396" s="0" t="s">
        <v>502</v>
      </c>
      <c r="D396" s="46" t="n">
        <v>45844</v>
      </c>
      <c r="E396" s="47" t="s">
        <v>55</v>
      </c>
      <c r="F396" s="48" t="n">
        <v>92609.06</v>
      </c>
      <c r="G396" s="47" t="s">
        <v>65</v>
      </c>
      <c r="H396" s="47" t="s">
        <v>43</v>
      </c>
      <c r="I396" s="47" t="s">
        <v>102</v>
      </c>
      <c r="J396" s="47" t="s">
        <v>28</v>
      </c>
      <c r="K396" s="47" t="s">
        <v>33</v>
      </c>
    </row>
    <row r="397" customFormat="false" ht="15" hidden="false" customHeight="false" outlineLevel="0" collapsed="false">
      <c r="A397" s="0" t="s">
        <v>872</v>
      </c>
      <c r="B397" s="0" t="s">
        <v>873</v>
      </c>
      <c r="D397" s="46" t="n">
        <v>45759</v>
      </c>
      <c r="E397" s="47" t="s">
        <v>55</v>
      </c>
      <c r="F397" s="48" t="n">
        <v>158149.17</v>
      </c>
      <c r="G397" s="47" t="s">
        <v>53</v>
      </c>
      <c r="H397" s="47" t="s">
        <v>42</v>
      </c>
      <c r="I397" s="47" t="s">
        <v>398</v>
      </c>
      <c r="J397" s="47" t="s">
        <v>28</v>
      </c>
      <c r="K397" s="47" t="s">
        <v>34</v>
      </c>
    </row>
    <row r="398" customFormat="false" ht="15" hidden="false" customHeight="false" outlineLevel="0" collapsed="false">
      <c r="A398" s="0" t="s">
        <v>874</v>
      </c>
      <c r="B398" s="0" t="s">
        <v>875</v>
      </c>
      <c r="C398" s="0" t="s">
        <v>876</v>
      </c>
      <c r="D398" s="46" t="n">
        <v>46152</v>
      </c>
      <c r="E398" s="47" t="s">
        <v>61</v>
      </c>
      <c r="F398" s="48" t="n">
        <v>56024.87</v>
      </c>
      <c r="G398" s="47" t="s">
        <v>57</v>
      </c>
      <c r="H398" s="47" t="s">
        <v>45</v>
      </c>
      <c r="I398" s="47" t="s">
        <v>95</v>
      </c>
      <c r="J398" s="47" t="s">
        <v>28</v>
      </c>
      <c r="K398" s="47" t="s">
        <v>33</v>
      </c>
    </row>
    <row r="399" customFormat="false" ht="15" hidden="false" customHeight="false" outlineLevel="0" collapsed="false">
      <c r="A399" s="0" t="s">
        <v>877</v>
      </c>
      <c r="B399" s="0" t="s">
        <v>826</v>
      </c>
      <c r="D399" s="46" t="n">
        <v>46108</v>
      </c>
      <c r="E399" s="47" t="s">
        <v>61</v>
      </c>
      <c r="F399" s="48" t="n">
        <v>132644.16</v>
      </c>
      <c r="G399" s="47" t="s">
        <v>53</v>
      </c>
      <c r="H399" s="47" t="s">
        <v>42</v>
      </c>
      <c r="I399" s="47" t="s">
        <v>105</v>
      </c>
      <c r="J399" s="47" t="s">
        <v>28</v>
      </c>
      <c r="K399" s="47" t="s">
        <v>34</v>
      </c>
    </row>
    <row r="400" customFormat="false" ht="15" hidden="false" customHeight="false" outlineLevel="0" collapsed="false">
      <c r="A400" s="0" t="s">
        <v>878</v>
      </c>
      <c r="B400" s="0" t="s">
        <v>879</v>
      </c>
      <c r="D400" s="46" t="n">
        <v>45914</v>
      </c>
      <c r="E400" s="47" t="s">
        <v>53</v>
      </c>
      <c r="F400" s="48" t="n">
        <v>113526.86</v>
      </c>
      <c r="G400" s="47" t="s">
        <v>65</v>
      </c>
      <c r="H400" s="47" t="s">
        <v>48</v>
      </c>
      <c r="I400" s="47" t="s">
        <v>114</v>
      </c>
      <c r="J400" s="47" t="s">
        <v>29</v>
      </c>
      <c r="K400" s="47" t="s">
        <v>34</v>
      </c>
    </row>
    <row r="401" customFormat="false" ht="15" hidden="false" customHeight="false" outlineLevel="0" collapsed="false">
      <c r="A401" s="0" t="s">
        <v>880</v>
      </c>
      <c r="B401" s="0" t="s">
        <v>147</v>
      </c>
      <c r="D401" s="46" t="n">
        <v>45941</v>
      </c>
      <c r="E401" s="47" t="s">
        <v>58</v>
      </c>
      <c r="F401" s="48" t="n">
        <v>33294.78</v>
      </c>
      <c r="G401" s="47" t="s">
        <v>57</v>
      </c>
      <c r="H401" s="47" t="s">
        <v>46</v>
      </c>
      <c r="I401" s="47" t="s">
        <v>148</v>
      </c>
      <c r="J401" s="47" t="s">
        <v>28</v>
      </c>
      <c r="K401" s="47" t="s">
        <v>34</v>
      </c>
    </row>
    <row r="402" customFormat="false" ht="15" hidden="false" customHeight="false" outlineLevel="0" collapsed="false">
      <c r="A402" s="0" t="s">
        <v>881</v>
      </c>
      <c r="B402" s="0" t="s">
        <v>200</v>
      </c>
      <c r="D402" s="46" t="n">
        <v>45989</v>
      </c>
      <c r="E402" s="47" t="s">
        <v>60</v>
      </c>
      <c r="F402" s="48" t="n">
        <v>166474.04</v>
      </c>
      <c r="G402" s="47" t="s">
        <v>57</v>
      </c>
      <c r="H402" s="47" t="s">
        <v>43</v>
      </c>
      <c r="I402" s="47" t="s">
        <v>201</v>
      </c>
      <c r="J402" s="47" t="s">
        <v>28</v>
      </c>
      <c r="K402" s="47" t="s">
        <v>33</v>
      </c>
    </row>
    <row r="403" customFormat="false" ht="15" hidden="false" customHeight="false" outlineLevel="0" collapsed="false">
      <c r="A403" s="0" t="s">
        <v>882</v>
      </c>
      <c r="B403" s="0" t="s">
        <v>575</v>
      </c>
      <c r="D403" s="46" t="n">
        <v>45746</v>
      </c>
      <c r="E403" s="47" t="s">
        <v>62</v>
      </c>
      <c r="F403" s="48" t="n">
        <v>150245.91</v>
      </c>
      <c r="G403" s="47" t="s">
        <v>65</v>
      </c>
      <c r="H403" s="47" t="s">
        <v>45</v>
      </c>
      <c r="I403" s="47" t="s">
        <v>217</v>
      </c>
      <c r="J403" s="47" t="s">
        <v>28</v>
      </c>
      <c r="K403" s="47" t="s">
        <v>33</v>
      </c>
    </row>
    <row r="404" customFormat="false" ht="15" hidden="false" customHeight="false" outlineLevel="0" collapsed="false">
      <c r="A404" s="0" t="s">
        <v>883</v>
      </c>
      <c r="B404" s="0" t="s">
        <v>520</v>
      </c>
      <c r="D404" s="46" t="n">
        <v>45949</v>
      </c>
      <c r="E404" s="47" t="s">
        <v>60</v>
      </c>
      <c r="F404" s="48" t="n">
        <v>26524.78</v>
      </c>
      <c r="G404" s="47" t="s">
        <v>66</v>
      </c>
      <c r="H404" s="47" t="s">
        <v>47</v>
      </c>
      <c r="I404" s="47" t="s">
        <v>108</v>
      </c>
      <c r="J404" s="47" t="s">
        <v>29</v>
      </c>
      <c r="K404" s="47" t="s">
        <v>34</v>
      </c>
    </row>
    <row r="405" customFormat="false" ht="15" hidden="false" customHeight="false" outlineLevel="0" collapsed="false">
      <c r="A405" s="0" t="s">
        <v>884</v>
      </c>
      <c r="B405" s="0" t="s">
        <v>885</v>
      </c>
      <c r="D405" s="46" t="n">
        <v>45681</v>
      </c>
      <c r="E405" s="47" t="s">
        <v>59</v>
      </c>
      <c r="F405" s="48" t="n">
        <v>162138.01</v>
      </c>
      <c r="G405" s="47" t="s">
        <v>68</v>
      </c>
      <c r="H405" s="47" t="s">
        <v>43</v>
      </c>
      <c r="I405" s="47" t="s">
        <v>102</v>
      </c>
      <c r="J405" s="47" t="s">
        <v>28</v>
      </c>
      <c r="K405" s="47" t="s">
        <v>34</v>
      </c>
    </row>
    <row r="406" customFormat="false" ht="15" hidden="false" customHeight="false" outlineLevel="0" collapsed="false">
      <c r="A406" s="0" t="s">
        <v>886</v>
      </c>
      <c r="B406" s="0" t="s">
        <v>887</v>
      </c>
      <c r="D406" s="46" t="n">
        <v>45836</v>
      </c>
      <c r="E406" s="47" t="s">
        <v>55</v>
      </c>
      <c r="F406" s="48" t="n">
        <v>145461.33</v>
      </c>
      <c r="G406" s="47" t="s">
        <v>57</v>
      </c>
      <c r="H406" s="47" t="s">
        <v>48</v>
      </c>
      <c r="I406" s="47" t="s">
        <v>212</v>
      </c>
      <c r="J406" s="47" t="s">
        <v>28</v>
      </c>
      <c r="K406" s="47" t="s">
        <v>34</v>
      </c>
    </row>
    <row r="407" customFormat="false" ht="15" hidden="false" customHeight="false" outlineLevel="0" collapsed="false">
      <c r="A407" s="0" t="s">
        <v>888</v>
      </c>
      <c r="B407" s="0" t="s">
        <v>889</v>
      </c>
      <c r="D407" s="46" t="n">
        <v>45701</v>
      </c>
      <c r="E407" s="47" t="s">
        <v>53</v>
      </c>
      <c r="F407" s="48" t="n">
        <v>195989.91</v>
      </c>
      <c r="G407" s="47" t="s">
        <v>53</v>
      </c>
      <c r="H407" s="47" t="s">
        <v>43</v>
      </c>
      <c r="I407" s="47" t="s">
        <v>102</v>
      </c>
      <c r="J407" s="47" t="s">
        <v>28</v>
      </c>
      <c r="K407" s="47" t="s">
        <v>33</v>
      </c>
    </row>
    <row r="408" customFormat="false" ht="15" hidden="false" customHeight="false" outlineLevel="0" collapsed="false">
      <c r="A408" s="0" t="s">
        <v>890</v>
      </c>
      <c r="B408" s="0" t="s">
        <v>891</v>
      </c>
      <c r="C408" s="0" t="s">
        <v>892</v>
      </c>
      <c r="D408" s="46" t="n">
        <v>45738</v>
      </c>
      <c r="E408" s="47" t="s">
        <v>59</v>
      </c>
      <c r="F408" s="48" t="n">
        <v>167038.44</v>
      </c>
      <c r="G408" s="47" t="s">
        <v>66</v>
      </c>
      <c r="H408" s="47" t="s">
        <v>46</v>
      </c>
      <c r="I408" s="47" t="s">
        <v>121</v>
      </c>
      <c r="J408" s="47" t="s">
        <v>28</v>
      </c>
      <c r="K408" s="47" t="s">
        <v>33</v>
      </c>
    </row>
    <row r="409" customFormat="false" ht="15" hidden="false" customHeight="false" outlineLevel="0" collapsed="false">
      <c r="A409" s="0" t="s">
        <v>893</v>
      </c>
      <c r="B409" s="0" t="s">
        <v>894</v>
      </c>
      <c r="D409" s="46" t="n">
        <v>46241</v>
      </c>
      <c r="E409" s="47" t="s">
        <v>61</v>
      </c>
      <c r="F409" s="48" t="n">
        <v>56930.97</v>
      </c>
      <c r="G409" s="47" t="s">
        <v>57</v>
      </c>
      <c r="H409" s="47" t="s">
        <v>45</v>
      </c>
      <c r="I409" s="47" t="s">
        <v>217</v>
      </c>
      <c r="J409" s="47" t="s">
        <v>28</v>
      </c>
      <c r="K409" s="47" t="s">
        <v>34</v>
      </c>
    </row>
    <row r="410" customFormat="false" ht="15" hidden="false" customHeight="false" outlineLevel="0" collapsed="false">
      <c r="A410" s="0" t="s">
        <v>895</v>
      </c>
      <c r="B410" s="0" t="s">
        <v>231</v>
      </c>
      <c r="D410" s="46" t="n">
        <v>45980</v>
      </c>
      <c r="E410" s="47" t="s">
        <v>53</v>
      </c>
      <c r="F410" s="48" t="n">
        <v>203.54</v>
      </c>
      <c r="G410" s="47" t="s">
        <v>66</v>
      </c>
      <c r="H410" s="47" t="s">
        <v>48</v>
      </c>
      <c r="I410" s="47" t="s">
        <v>111</v>
      </c>
      <c r="J410" s="47" t="s">
        <v>29</v>
      </c>
      <c r="K410" s="47" t="s">
        <v>33</v>
      </c>
    </row>
    <row r="411" customFormat="false" ht="15" hidden="false" customHeight="false" outlineLevel="0" collapsed="false">
      <c r="A411" s="0" t="s">
        <v>896</v>
      </c>
      <c r="B411" s="0" t="s">
        <v>760</v>
      </c>
      <c r="D411" s="46" t="n">
        <v>46200</v>
      </c>
      <c r="E411" s="47" t="s">
        <v>59</v>
      </c>
      <c r="F411" s="48" t="n">
        <v>48430.99</v>
      </c>
      <c r="G411" s="47" t="s">
        <v>57</v>
      </c>
      <c r="H411" s="47" t="s">
        <v>47</v>
      </c>
      <c r="I411" s="47" t="s">
        <v>166</v>
      </c>
      <c r="J411" s="47" t="s">
        <v>28</v>
      </c>
      <c r="K411" s="47" t="s">
        <v>33</v>
      </c>
    </row>
    <row r="412" customFormat="false" ht="15" hidden="false" customHeight="false" outlineLevel="0" collapsed="false">
      <c r="A412" s="0" t="s">
        <v>897</v>
      </c>
      <c r="B412" s="0" t="s">
        <v>898</v>
      </c>
      <c r="D412" s="46" t="n">
        <v>45821</v>
      </c>
      <c r="E412" s="47" t="s">
        <v>59</v>
      </c>
      <c r="F412" s="48" t="n">
        <v>24930.24</v>
      </c>
      <c r="G412" s="47" t="s">
        <v>57</v>
      </c>
      <c r="H412" s="47" t="s">
        <v>45</v>
      </c>
      <c r="I412" s="47" t="s">
        <v>217</v>
      </c>
      <c r="J412" s="47" t="s">
        <v>29</v>
      </c>
      <c r="K412" s="47" t="s">
        <v>34</v>
      </c>
    </row>
    <row r="413" customFormat="false" ht="15" hidden="false" customHeight="false" outlineLevel="0" collapsed="false">
      <c r="A413" s="0" t="s">
        <v>899</v>
      </c>
      <c r="B413" s="0" t="s">
        <v>205</v>
      </c>
      <c r="D413" s="46" t="n">
        <v>46204</v>
      </c>
      <c r="E413" s="47" t="s">
        <v>53</v>
      </c>
      <c r="F413" s="48" t="n">
        <v>174627.35</v>
      </c>
      <c r="G413" s="47" t="s">
        <v>65</v>
      </c>
      <c r="H413" s="47" t="s">
        <v>40</v>
      </c>
      <c r="I413" s="47" t="s">
        <v>89</v>
      </c>
      <c r="J413" s="47" t="s">
        <v>29</v>
      </c>
      <c r="K413" s="47" t="s">
        <v>33</v>
      </c>
    </row>
    <row r="414" customFormat="false" ht="15" hidden="false" customHeight="false" outlineLevel="0" collapsed="false">
      <c r="A414" s="0" t="s">
        <v>900</v>
      </c>
      <c r="B414" s="0" t="s">
        <v>417</v>
      </c>
      <c r="D414" s="46" t="n">
        <v>46075</v>
      </c>
      <c r="E414" s="47" t="s">
        <v>59</v>
      </c>
      <c r="F414" s="48" t="n">
        <v>159837.9</v>
      </c>
      <c r="G414" s="47" t="s">
        <v>57</v>
      </c>
      <c r="H414" s="47" t="s">
        <v>39</v>
      </c>
      <c r="I414" s="47" t="s">
        <v>145</v>
      </c>
      <c r="J414" s="47" t="s">
        <v>28</v>
      </c>
      <c r="K414" s="47" t="s">
        <v>33</v>
      </c>
    </row>
    <row r="415" customFormat="false" ht="15" hidden="false" customHeight="false" outlineLevel="0" collapsed="false">
      <c r="A415" s="0" t="s">
        <v>901</v>
      </c>
      <c r="B415" s="0" t="s">
        <v>79</v>
      </c>
      <c r="D415" s="46" t="n">
        <v>46098</v>
      </c>
      <c r="E415" s="47" t="s">
        <v>53</v>
      </c>
      <c r="F415" s="48" t="n">
        <v>181031.55</v>
      </c>
      <c r="G415" s="47" t="s">
        <v>66</v>
      </c>
      <c r="H415" s="47" t="s">
        <v>44</v>
      </c>
      <c r="I415" s="47" t="s">
        <v>80</v>
      </c>
      <c r="J415" s="47" t="s">
        <v>28</v>
      </c>
      <c r="K415" s="47" t="s">
        <v>33</v>
      </c>
    </row>
    <row r="416" customFormat="false" ht="15" hidden="false" customHeight="false" outlineLevel="0" collapsed="false">
      <c r="A416" s="0" t="s">
        <v>902</v>
      </c>
      <c r="B416" s="0" t="s">
        <v>903</v>
      </c>
      <c r="D416" s="46" t="n">
        <v>45789</v>
      </c>
      <c r="E416" s="47" t="s">
        <v>53</v>
      </c>
      <c r="F416" s="48" t="n">
        <v>191786.12</v>
      </c>
      <c r="G416" s="47" t="s">
        <v>57</v>
      </c>
      <c r="H416" s="47" t="s">
        <v>43</v>
      </c>
      <c r="I416" s="47" t="s">
        <v>117</v>
      </c>
      <c r="J416" s="47" t="s">
        <v>28</v>
      </c>
      <c r="K416" s="47" t="s">
        <v>34</v>
      </c>
    </row>
    <row r="417" customFormat="false" ht="15" hidden="false" customHeight="false" outlineLevel="0" collapsed="false">
      <c r="A417" s="0" t="s">
        <v>904</v>
      </c>
      <c r="B417" s="0" t="s">
        <v>185</v>
      </c>
      <c r="D417" s="46" t="n">
        <v>45924</v>
      </c>
      <c r="E417" s="47" t="s">
        <v>58</v>
      </c>
      <c r="F417" s="48" t="n">
        <v>83922.64</v>
      </c>
      <c r="G417" s="47" t="s">
        <v>66</v>
      </c>
      <c r="H417" s="47" t="s">
        <v>47</v>
      </c>
      <c r="I417" s="47" t="s">
        <v>166</v>
      </c>
      <c r="J417" s="47" t="s">
        <v>28</v>
      </c>
      <c r="K417" s="47" t="s">
        <v>33</v>
      </c>
    </row>
    <row r="418" customFormat="false" ht="15" hidden="false" customHeight="false" outlineLevel="0" collapsed="false">
      <c r="A418" s="0" t="s">
        <v>905</v>
      </c>
      <c r="B418" s="0" t="s">
        <v>129</v>
      </c>
      <c r="D418" s="46" t="n">
        <v>45665</v>
      </c>
      <c r="E418" s="47" t="s">
        <v>62</v>
      </c>
      <c r="F418" s="48" t="n">
        <v>132288.78</v>
      </c>
      <c r="G418" s="47" t="s">
        <v>68</v>
      </c>
      <c r="H418" s="47" t="s">
        <v>45</v>
      </c>
      <c r="I418" s="47" t="s">
        <v>95</v>
      </c>
      <c r="J418" s="47" t="s">
        <v>28</v>
      </c>
      <c r="K418" s="47" t="s">
        <v>33</v>
      </c>
    </row>
    <row r="419" customFormat="false" ht="15" hidden="false" customHeight="false" outlineLevel="0" collapsed="false">
      <c r="A419" s="0" t="s">
        <v>906</v>
      </c>
      <c r="B419" s="0" t="s">
        <v>907</v>
      </c>
      <c r="D419" s="46" t="n">
        <v>45769</v>
      </c>
      <c r="E419" s="47" t="s">
        <v>61</v>
      </c>
      <c r="F419" s="48" t="n">
        <v>91459.8</v>
      </c>
      <c r="G419" s="47" t="s">
        <v>53</v>
      </c>
      <c r="H419" s="47" t="s">
        <v>43</v>
      </c>
      <c r="I419" s="47" t="s">
        <v>102</v>
      </c>
      <c r="J419" s="47" t="s">
        <v>28</v>
      </c>
      <c r="K419" s="47" t="s">
        <v>34</v>
      </c>
    </row>
    <row r="420" customFormat="false" ht="15" hidden="false" customHeight="false" outlineLevel="0" collapsed="false">
      <c r="A420" s="0" t="s">
        <v>908</v>
      </c>
      <c r="B420" s="0" t="s">
        <v>629</v>
      </c>
      <c r="D420" s="46" t="n">
        <v>46138</v>
      </c>
      <c r="E420" s="47" t="s">
        <v>53</v>
      </c>
      <c r="F420" s="48" t="n">
        <v>73673.49</v>
      </c>
      <c r="G420" s="47" t="s">
        <v>66</v>
      </c>
      <c r="H420" s="47" t="s">
        <v>41</v>
      </c>
      <c r="I420" s="47" t="s">
        <v>293</v>
      </c>
      <c r="J420" s="47" t="s">
        <v>28</v>
      </c>
      <c r="K420" s="47" t="s">
        <v>34</v>
      </c>
    </row>
    <row r="421" customFormat="false" ht="15" hidden="false" customHeight="false" outlineLevel="0" collapsed="false">
      <c r="A421" s="0" t="s">
        <v>909</v>
      </c>
      <c r="B421" s="0" t="s">
        <v>910</v>
      </c>
      <c r="C421" s="0" t="s">
        <v>911</v>
      </c>
      <c r="D421" s="46" t="n">
        <v>45961</v>
      </c>
      <c r="E421" s="47" t="s">
        <v>61</v>
      </c>
      <c r="F421" s="48" t="n">
        <v>147659.29</v>
      </c>
      <c r="G421" s="47" t="s">
        <v>66</v>
      </c>
      <c r="H421" s="47" t="s">
        <v>43</v>
      </c>
      <c r="I421" s="47" t="s">
        <v>102</v>
      </c>
      <c r="J421" s="47" t="s">
        <v>28</v>
      </c>
      <c r="K421" s="47" t="s">
        <v>34</v>
      </c>
    </row>
    <row r="422" customFormat="false" ht="15" hidden="false" customHeight="false" outlineLevel="0" collapsed="false">
      <c r="A422" s="0" t="s">
        <v>912</v>
      </c>
      <c r="B422" s="0" t="s">
        <v>913</v>
      </c>
      <c r="D422" s="46" t="n">
        <v>46231</v>
      </c>
      <c r="E422" s="47" t="s">
        <v>60</v>
      </c>
      <c r="F422" s="48" t="n">
        <v>51095.94</v>
      </c>
      <c r="G422" s="47" t="s">
        <v>53</v>
      </c>
      <c r="H422" s="47" t="s">
        <v>48</v>
      </c>
      <c r="I422" s="47" t="s">
        <v>114</v>
      </c>
      <c r="J422" s="47" t="s">
        <v>28</v>
      </c>
      <c r="K422" s="47" t="s">
        <v>34</v>
      </c>
    </row>
    <row r="423" customFormat="false" ht="15" hidden="false" customHeight="false" outlineLevel="0" collapsed="false">
      <c r="A423" s="0" t="s">
        <v>914</v>
      </c>
      <c r="B423" s="0" t="s">
        <v>915</v>
      </c>
      <c r="D423" s="46" t="n">
        <v>45907</v>
      </c>
      <c r="E423" s="47" t="s">
        <v>62</v>
      </c>
      <c r="F423" s="48" t="n">
        <v>174860.39</v>
      </c>
      <c r="G423" s="47" t="s">
        <v>65</v>
      </c>
      <c r="H423" s="47" t="s">
        <v>47</v>
      </c>
      <c r="I423" s="47" t="s">
        <v>108</v>
      </c>
      <c r="J423" s="47" t="s">
        <v>28</v>
      </c>
      <c r="K423" s="47" t="s">
        <v>34</v>
      </c>
    </row>
    <row r="424" customFormat="false" ht="15" hidden="false" customHeight="false" outlineLevel="0" collapsed="false">
      <c r="A424" s="0" t="s">
        <v>916</v>
      </c>
      <c r="B424" s="0" t="s">
        <v>917</v>
      </c>
      <c r="C424" s="0" t="s">
        <v>918</v>
      </c>
      <c r="D424" s="46" t="n">
        <v>46127</v>
      </c>
      <c r="E424" s="47" t="s">
        <v>58</v>
      </c>
      <c r="F424" s="48" t="n">
        <v>144204.89</v>
      </c>
      <c r="G424" s="47" t="s">
        <v>65</v>
      </c>
      <c r="H424" s="47" t="s">
        <v>47</v>
      </c>
      <c r="I424" s="47" t="s">
        <v>166</v>
      </c>
      <c r="J424" s="47" t="s">
        <v>28</v>
      </c>
      <c r="K424" s="47" t="s">
        <v>34</v>
      </c>
    </row>
    <row r="425" customFormat="false" ht="15" hidden="false" customHeight="false" outlineLevel="0" collapsed="false">
      <c r="A425" s="0" t="s">
        <v>919</v>
      </c>
      <c r="B425" s="0" t="s">
        <v>859</v>
      </c>
      <c r="D425" s="46" t="n">
        <v>46174</v>
      </c>
      <c r="E425" s="47" t="s">
        <v>62</v>
      </c>
      <c r="F425" s="48" t="n">
        <v>72244.18</v>
      </c>
      <c r="G425" s="47" t="s">
        <v>68</v>
      </c>
      <c r="H425" s="47" t="s">
        <v>43</v>
      </c>
      <c r="I425" s="47" t="s">
        <v>117</v>
      </c>
      <c r="J425" s="47" t="s">
        <v>29</v>
      </c>
      <c r="K425" s="47" t="s">
        <v>33</v>
      </c>
    </row>
    <row r="426" customFormat="false" ht="15" hidden="false" customHeight="false" outlineLevel="0" collapsed="false">
      <c r="A426" s="0" t="s">
        <v>920</v>
      </c>
      <c r="B426" s="0" t="s">
        <v>921</v>
      </c>
      <c r="D426" s="46" t="n">
        <v>46223</v>
      </c>
      <c r="E426" s="47" t="s">
        <v>55</v>
      </c>
      <c r="F426" s="48" t="n">
        <v>13830.69</v>
      </c>
      <c r="G426" s="47" t="s">
        <v>66</v>
      </c>
      <c r="H426" s="47" t="s">
        <v>47</v>
      </c>
      <c r="I426" s="47" t="s">
        <v>108</v>
      </c>
      <c r="J426" s="47" t="s">
        <v>28</v>
      </c>
      <c r="K426" s="47" t="s">
        <v>34</v>
      </c>
    </row>
    <row r="427" customFormat="false" ht="15" hidden="false" customHeight="false" outlineLevel="0" collapsed="false">
      <c r="A427" s="0" t="s">
        <v>922</v>
      </c>
      <c r="B427" s="0" t="s">
        <v>923</v>
      </c>
      <c r="C427" s="0" t="s">
        <v>924</v>
      </c>
      <c r="D427" s="46" t="n">
        <v>45759</v>
      </c>
      <c r="E427" s="47" t="s">
        <v>62</v>
      </c>
      <c r="F427" s="48" t="n">
        <v>28882.67</v>
      </c>
      <c r="G427" s="47" t="s">
        <v>66</v>
      </c>
      <c r="H427" s="47" t="s">
        <v>42</v>
      </c>
      <c r="I427" s="47" t="s">
        <v>105</v>
      </c>
      <c r="J427" s="47" t="s">
        <v>28</v>
      </c>
      <c r="K427" s="47" t="s">
        <v>33</v>
      </c>
    </row>
    <row r="428" customFormat="false" ht="15" hidden="false" customHeight="false" outlineLevel="0" collapsed="false">
      <c r="A428" s="0" t="s">
        <v>925</v>
      </c>
      <c r="B428" s="0" t="s">
        <v>926</v>
      </c>
      <c r="C428" s="0" t="s">
        <v>927</v>
      </c>
      <c r="D428" s="46" t="n">
        <v>46121</v>
      </c>
      <c r="E428" s="47" t="s">
        <v>60</v>
      </c>
      <c r="F428" s="48" t="n">
        <v>31181.49</v>
      </c>
      <c r="G428" s="47" t="s">
        <v>68</v>
      </c>
      <c r="H428" s="47" t="s">
        <v>39</v>
      </c>
      <c r="I428" s="47" t="s">
        <v>177</v>
      </c>
      <c r="J428" s="47" t="s">
        <v>28</v>
      </c>
      <c r="K428" s="47" t="s">
        <v>34</v>
      </c>
    </row>
    <row r="429" customFormat="false" ht="15" hidden="false" customHeight="false" outlineLevel="0" collapsed="false">
      <c r="A429" s="0" t="s">
        <v>928</v>
      </c>
      <c r="B429" s="0" t="s">
        <v>929</v>
      </c>
      <c r="D429" s="46" t="n">
        <v>45956</v>
      </c>
      <c r="E429" s="47" t="s">
        <v>55</v>
      </c>
      <c r="F429" s="48" t="n">
        <v>173134.59</v>
      </c>
      <c r="G429" s="47" t="s">
        <v>68</v>
      </c>
      <c r="H429" s="47" t="s">
        <v>48</v>
      </c>
      <c r="I429" s="47" t="s">
        <v>114</v>
      </c>
      <c r="J429" s="47" t="s">
        <v>28</v>
      </c>
      <c r="K429" s="47" t="s">
        <v>34</v>
      </c>
    </row>
    <row r="430" customFormat="false" ht="15" hidden="false" customHeight="false" outlineLevel="0" collapsed="false">
      <c r="A430" s="0" t="s">
        <v>930</v>
      </c>
      <c r="B430" s="0" t="s">
        <v>931</v>
      </c>
      <c r="D430" s="46" t="n">
        <v>46107</v>
      </c>
      <c r="E430" s="47" t="s">
        <v>62</v>
      </c>
      <c r="F430" s="48" t="n">
        <v>121469.93</v>
      </c>
      <c r="G430" s="47" t="s">
        <v>65</v>
      </c>
      <c r="H430" s="47" t="s">
        <v>42</v>
      </c>
      <c r="I430" s="47" t="s">
        <v>105</v>
      </c>
      <c r="J430" s="47" t="s">
        <v>28</v>
      </c>
      <c r="K430" s="47" t="s">
        <v>34</v>
      </c>
    </row>
    <row r="431" customFormat="false" ht="15" hidden="false" customHeight="false" outlineLevel="0" collapsed="false">
      <c r="A431" s="0" t="s">
        <v>932</v>
      </c>
      <c r="B431" s="0" t="s">
        <v>730</v>
      </c>
      <c r="D431" s="46" t="n">
        <v>46142</v>
      </c>
      <c r="E431" s="47" t="s">
        <v>59</v>
      </c>
      <c r="F431" s="48" t="n">
        <v>39138.25</v>
      </c>
      <c r="G431" s="47" t="s">
        <v>53</v>
      </c>
      <c r="H431" s="47" t="s">
        <v>48</v>
      </c>
      <c r="I431" s="47" t="s">
        <v>114</v>
      </c>
      <c r="J431" s="47" t="s">
        <v>28</v>
      </c>
      <c r="K431" s="47" t="s">
        <v>33</v>
      </c>
    </row>
    <row r="432" customFormat="false" ht="15" hidden="false" customHeight="false" outlineLevel="0" collapsed="false">
      <c r="A432" s="0" t="s">
        <v>933</v>
      </c>
      <c r="B432" s="0" t="s">
        <v>358</v>
      </c>
      <c r="D432" s="46" t="n">
        <v>45675</v>
      </c>
      <c r="E432" s="47" t="s">
        <v>62</v>
      </c>
      <c r="F432" s="48" t="n">
        <v>67402.19</v>
      </c>
      <c r="G432" s="47" t="s">
        <v>68</v>
      </c>
      <c r="H432" s="47" t="s">
        <v>47</v>
      </c>
      <c r="I432" s="47" t="s">
        <v>166</v>
      </c>
      <c r="J432" s="47" t="s">
        <v>28</v>
      </c>
      <c r="K432" s="47" t="s">
        <v>34</v>
      </c>
    </row>
    <row r="433" customFormat="false" ht="15" hidden="false" customHeight="false" outlineLevel="0" collapsed="false">
      <c r="A433" s="0" t="s">
        <v>934</v>
      </c>
      <c r="B433" s="0" t="s">
        <v>225</v>
      </c>
      <c r="D433" s="46" t="n">
        <v>46048</v>
      </c>
      <c r="E433" s="47" t="s">
        <v>61</v>
      </c>
      <c r="F433" s="48" t="n">
        <v>123524.78</v>
      </c>
      <c r="G433" s="47" t="s">
        <v>53</v>
      </c>
      <c r="H433" s="47" t="s">
        <v>44</v>
      </c>
      <c r="I433" s="47" t="s">
        <v>226</v>
      </c>
      <c r="J433" s="47" t="s">
        <v>28</v>
      </c>
      <c r="K433" s="47" t="s">
        <v>34</v>
      </c>
    </row>
    <row r="434" customFormat="false" ht="15" hidden="false" customHeight="false" outlineLevel="0" collapsed="false">
      <c r="A434" s="0" t="s">
        <v>935</v>
      </c>
      <c r="B434" s="0" t="s">
        <v>936</v>
      </c>
      <c r="D434" s="46" t="n">
        <v>46187</v>
      </c>
      <c r="E434" s="47" t="s">
        <v>60</v>
      </c>
      <c r="F434" s="48" t="n">
        <v>172179.25</v>
      </c>
      <c r="G434" s="47" t="s">
        <v>57</v>
      </c>
      <c r="H434" s="47" t="s">
        <v>47</v>
      </c>
      <c r="I434" s="47" t="s">
        <v>245</v>
      </c>
      <c r="J434" s="47" t="s">
        <v>28</v>
      </c>
      <c r="K434" s="47" t="s">
        <v>33</v>
      </c>
    </row>
    <row r="435" customFormat="false" ht="15" hidden="false" customHeight="false" outlineLevel="0" collapsed="false">
      <c r="A435" s="0" t="s">
        <v>937</v>
      </c>
      <c r="B435" s="0" t="s">
        <v>938</v>
      </c>
      <c r="D435" s="46" t="n">
        <v>45747</v>
      </c>
      <c r="E435" s="47" t="s">
        <v>58</v>
      </c>
      <c r="F435" s="48" t="n">
        <v>82216.16</v>
      </c>
      <c r="G435" s="47" t="s">
        <v>53</v>
      </c>
      <c r="H435" s="47" t="s">
        <v>48</v>
      </c>
      <c r="I435" s="47" t="s">
        <v>212</v>
      </c>
      <c r="J435" s="47" t="s">
        <v>28</v>
      </c>
      <c r="K435" s="47" t="s">
        <v>34</v>
      </c>
    </row>
    <row r="436" customFormat="false" ht="15" hidden="false" customHeight="false" outlineLevel="0" collapsed="false">
      <c r="A436" s="0" t="s">
        <v>939</v>
      </c>
      <c r="B436" s="0" t="s">
        <v>940</v>
      </c>
      <c r="D436" s="46" t="n">
        <v>46080</v>
      </c>
      <c r="E436" s="47" t="s">
        <v>60</v>
      </c>
      <c r="F436" s="48" t="n">
        <v>37448.16</v>
      </c>
      <c r="G436" s="47" t="s">
        <v>68</v>
      </c>
      <c r="H436" s="47" t="s">
        <v>48</v>
      </c>
      <c r="I436" s="47" t="s">
        <v>111</v>
      </c>
      <c r="J436" s="47" t="s">
        <v>28</v>
      </c>
      <c r="K436" s="47" t="s">
        <v>33</v>
      </c>
    </row>
    <row r="437" customFormat="false" ht="15" hidden="false" customHeight="false" outlineLevel="0" collapsed="false">
      <c r="A437" s="0" t="s">
        <v>941</v>
      </c>
      <c r="B437" s="0" t="s">
        <v>942</v>
      </c>
      <c r="D437" s="46" t="n">
        <v>45701</v>
      </c>
      <c r="E437" s="47" t="s">
        <v>53</v>
      </c>
      <c r="F437" s="48" t="n">
        <v>79849.5</v>
      </c>
      <c r="G437" s="47" t="s">
        <v>53</v>
      </c>
      <c r="H437" s="47" t="s">
        <v>43</v>
      </c>
      <c r="I437" s="47" t="s">
        <v>201</v>
      </c>
      <c r="J437" s="47" t="s">
        <v>28</v>
      </c>
      <c r="K437" s="47" t="s">
        <v>33</v>
      </c>
    </row>
    <row r="438" customFormat="false" ht="15" hidden="false" customHeight="false" outlineLevel="0" collapsed="false">
      <c r="A438" s="0" t="s">
        <v>943</v>
      </c>
      <c r="B438" s="0" t="s">
        <v>944</v>
      </c>
      <c r="D438" s="46" t="n">
        <v>46242</v>
      </c>
      <c r="E438" s="47" t="s">
        <v>59</v>
      </c>
      <c r="F438" s="48" t="n">
        <v>168113.67</v>
      </c>
      <c r="G438" s="47" t="s">
        <v>53</v>
      </c>
      <c r="H438" s="47" t="s">
        <v>45</v>
      </c>
      <c r="I438" s="47" t="s">
        <v>217</v>
      </c>
      <c r="J438" s="47" t="s">
        <v>28</v>
      </c>
      <c r="K438" s="47" t="s">
        <v>33</v>
      </c>
    </row>
    <row r="439" customFormat="false" ht="15" hidden="false" customHeight="false" outlineLevel="0" collapsed="false">
      <c r="A439" s="0" t="s">
        <v>945</v>
      </c>
      <c r="B439" s="0" t="s">
        <v>718</v>
      </c>
      <c r="D439" s="46" t="n">
        <v>45790</v>
      </c>
      <c r="E439" s="47" t="s">
        <v>53</v>
      </c>
      <c r="F439" s="48" t="n">
        <v>171375.75</v>
      </c>
      <c r="G439" s="47" t="s">
        <v>65</v>
      </c>
      <c r="H439" s="47" t="s">
        <v>42</v>
      </c>
      <c r="I439" s="47" t="s">
        <v>398</v>
      </c>
      <c r="J439" s="47" t="s">
        <v>28</v>
      </c>
      <c r="K439" s="47" t="s">
        <v>33</v>
      </c>
    </row>
    <row r="440" customFormat="false" ht="15" hidden="false" customHeight="false" outlineLevel="0" collapsed="false">
      <c r="A440" s="0" t="s">
        <v>946</v>
      </c>
      <c r="B440" s="0" t="s">
        <v>500</v>
      </c>
      <c r="C440" s="0" t="s">
        <v>947</v>
      </c>
      <c r="D440" s="46" t="n">
        <v>46085</v>
      </c>
      <c r="E440" s="47" t="s">
        <v>60</v>
      </c>
      <c r="F440" s="48" t="n">
        <v>129393.15</v>
      </c>
      <c r="G440" s="47" t="s">
        <v>53</v>
      </c>
      <c r="H440" s="47" t="s">
        <v>48</v>
      </c>
      <c r="I440" s="47" t="s">
        <v>111</v>
      </c>
      <c r="J440" s="47" t="s">
        <v>30</v>
      </c>
      <c r="K440" s="47" t="s">
        <v>33</v>
      </c>
    </row>
    <row r="441" customFormat="false" ht="15" hidden="false" customHeight="false" outlineLevel="0" collapsed="false">
      <c r="A441" s="0" t="s">
        <v>948</v>
      </c>
      <c r="B441" s="0" t="s">
        <v>549</v>
      </c>
      <c r="D441" s="46" t="n">
        <v>45881</v>
      </c>
      <c r="E441" s="47" t="s">
        <v>60</v>
      </c>
      <c r="F441" s="48" t="n">
        <v>92756.6</v>
      </c>
      <c r="G441" s="47" t="s">
        <v>53</v>
      </c>
      <c r="H441" s="47" t="s">
        <v>44</v>
      </c>
      <c r="I441" s="47" t="s">
        <v>80</v>
      </c>
      <c r="J441" s="47" t="s">
        <v>28</v>
      </c>
      <c r="K441" s="47" t="s">
        <v>33</v>
      </c>
    </row>
    <row r="442" customFormat="false" ht="15" hidden="false" customHeight="false" outlineLevel="0" collapsed="false">
      <c r="A442" s="0" t="s">
        <v>949</v>
      </c>
      <c r="B442" s="0" t="s">
        <v>950</v>
      </c>
      <c r="D442" s="46" t="n">
        <v>45792</v>
      </c>
      <c r="E442" s="47" t="s">
        <v>60</v>
      </c>
      <c r="F442" s="48" t="n">
        <v>35831.82</v>
      </c>
      <c r="G442" s="47" t="s">
        <v>65</v>
      </c>
      <c r="H442" s="47" t="s">
        <v>45</v>
      </c>
      <c r="I442" s="47" t="s">
        <v>151</v>
      </c>
      <c r="J442" s="47" t="s">
        <v>28</v>
      </c>
      <c r="K442" s="47" t="s">
        <v>34</v>
      </c>
    </row>
    <row r="443" customFormat="false" ht="15" hidden="false" customHeight="false" outlineLevel="0" collapsed="false">
      <c r="A443" s="0" t="s">
        <v>951</v>
      </c>
      <c r="B443" s="0" t="s">
        <v>952</v>
      </c>
      <c r="D443" s="46" t="n">
        <v>46264</v>
      </c>
      <c r="E443" s="47" t="s">
        <v>55</v>
      </c>
      <c r="F443" s="48" t="n">
        <v>190112.78</v>
      </c>
      <c r="G443" s="47" t="s">
        <v>57</v>
      </c>
      <c r="H443" s="47" t="s">
        <v>40</v>
      </c>
      <c r="I443" s="47" t="s">
        <v>89</v>
      </c>
      <c r="J443" s="47" t="s">
        <v>28</v>
      </c>
      <c r="K443" s="47" t="s">
        <v>34</v>
      </c>
    </row>
    <row r="444" customFormat="false" ht="15" hidden="false" customHeight="false" outlineLevel="0" collapsed="false">
      <c r="A444" s="0" t="s">
        <v>953</v>
      </c>
      <c r="B444" s="0" t="s">
        <v>954</v>
      </c>
      <c r="D444" s="46" t="n">
        <v>46256</v>
      </c>
      <c r="E444" s="47" t="s">
        <v>55</v>
      </c>
      <c r="F444" s="48" t="n">
        <v>86207.47</v>
      </c>
      <c r="G444" s="47" t="s">
        <v>65</v>
      </c>
      <c r="H444" s="47" t="s">
        <v>42</v>
      </c>
      <c r="I444" s="47" t="s">
        <v>105</v>
      </c>
      <c r="J444" s="47" t="s">
        <v>28</v>
      </c>
      <c r="K444" s="47" t="s">
        <v>34</v>
      </c>
    </row>
    <row r="445" customFormat="false" ht="15" hidden="false" customHeight="false" outlineLevel="0" collapsed="false">
      <c r="A445" s="0" t="s">
        <v>955</v>
      </c>
      <c r="B445" s="0" t="s">
        <v>956</v>
      </c>
      <c r="D445" s="46" t="n">
        <v>45763</v>
      </c>
      <c r="E445" s="47" t="s">
        <v>62</v>
      </c>
      <c r="F445" s="48" t="n">
        <v>105192.86</v>
      </c>
      <c r="G445" s="47" t="s">
        <v>68</v>
      </c>
      <c r="H445" s="47" t="s">
        <v>46</v>
      </c>
      <c r="I445" s="47" t="s">
        <v>121</v>
      </c>
      <c r="J445" s="47" t="s">
        <v>28</v>
      </c>
      <c r="K445" s="47" t="s">
        <v>33</v>
      </c>
    </row>
    <row r="446" customFormat="false" ht="15" hidden="false" customHeight="false" outlineLevel="0" collapsed="false">
      <c r="A446" s="0" t="s">
        <v>957</v>
      </c>
      <c r="B446" s="0" t="s">
        <v>958</v>
      </c>
      <c r="D446" s="46" t="n">
        <v>46283</v>
      </c>
      <c r="E446" s="47" t="s">
        <v>59</v>
      </c>
      <c r="F446" s="48" t="n">
        <v>125448.8</v>
      </c>
      <c r="G446" s="47" t="s">
        <v>66</v>
      </c>
      <c r="H446" s="47" t="s">
        <v>39</v>
      </c>
      <c r="I446" s="47" t="s">
        <v>177</v>
      </c>
      <c r="J446" s="47" t="s">
        <v>28</v>
      </c>
      <c r="K446" s="47" t="s">
        <v>34</v>
      </c>
    </row>
    <row r="447" customFormat="false" ht="15" hidden="false" customHeight="false" outlineLevel="0" collapsed="false">
      <c r="A447" s="0" t="s">
        <v>959</v>
      </c>
      <c r="B447" s="0" t="s">
        <v>231</v>
      </c>
      <c r="D447" s="46" t="n">
        <v>45668</v>
      </c>
      <c r="E447" s="47" t="s">
        <v>62</v>
      </c>
      <c r="F447" s="48" t="n">
        <v>59424.95</v>
      </c>
      <c r="G447" s="47" t="s">
        <v>53</v>
      </c>
      <c r="H447" s="47" t="s">
        <v>48</v>
      </c>
      <c r="I447" s="47" t="s">
        <v>111</v>
      </c>
      <c r="J447" s="47" t="s">
        <v>28</v>
      </c>
      <c r="K447" s="47" t="s">
        <v>33</v>
      </c>
    </row>
    <row r="448" customFormat="false" ht="15" hidden="false" customHeight="false" outlineLevel="0" collapsed="false">
      <c r="A448" s="0" t="s">
        <v>960</v>
      </c>
      <c r="B448" s="0" t="s">
        <v>961</v>
      </c>
      <c r="D448" s="46" t="n">
        <v>46177</v>
      </c>
      <c r="E448" s="47" t="s">
        <v>53</v>
      </c>
      <c r="F448" s="48" t="n">
        <v>119492.17</v>
      </c>
      <c r="G448" s="47" t="s">
        <v>53</v>
      </c>
      <c r="H448" s="47" t="s">
        <v>42</v>
      </c>
      <c r="I448" s="47" t="s">
        <v>398</v>
      </c>
      <c r="J448" s="47" t="s">
        <v>28</v>
      </c>
      <c r="K448" s="47" t="s">
        <v>34</v>
      </c>
    </row>
    <row r="449" customFormat="false" ht="15" hidden="false" customHeight="false" outlineLevel="0" collapsed="false">
      <c r="A449" s="0" t="s">
        <v>962</v>
      </c>
      <c r="B449" s="0" t="s">
        <v>239</v>
      </c>
      <c r="D449" s="46" t="n">
        <v>46187</v>
      </c>
      <c r="E449" s="47" t="s">
        <v>61</v>
      </c>
      <c r="F449" s="48" t="n">
        <v>168365.31</v>
      </c>
      <c r="G449" s="47" t="s">
        <v>53</v>
      </c>
      <c r="H449" s="47" t="s">
        <v>44</v>
      </c>
      <c r="I449" s="47" t="s">
        <v>226</v>
      </c>
      <c r="J449" s="47" t="s">
        <v>28</v>
      </c>
      <c r="K449" s="47" t="s">
        <v>33</v>
      </c>
    </row>
    <row r="450" customFormat="false" ht="15" hidden="false" customHeight="false" outlineLevel="0" collapsed="false">
      <c r="A450" s="0" t="s">
        <v>963</v>
      </c>
      <c r="B450" s="0" t="s">
        <v>964</v>
      </c>
      <c r="D450" s="46" t="n">
        <v>45892</v>
      </c>
      <c r="E450" s="47" t="s">
        <v>55</v>
      </c>
      <c r="F450" s="48" t="n">
        <v>73482.02</v>
      </c>
      <c r="G450" s="47" t="s">
        <v>57</v>
      </c>
      <c r="H450" s="47" t="s">
        <v>45</v>
      </c>
      <c r="I450" s="47" t="s">
        <v>95</v>
      </c>
      <c r="J450" s="47" t="s">
        <v>28</v>
      </c>
      <c r="K450" s="47" t="s">
        <v>33</v>
      </c>
    </row>
    <row r="451" customFormat="false" ht="15" hidden="false" customHeight="false" outlineLevel="0" collapsed="false">
      <c r="A451" s="0" t="s">
        <v>965</v>
      </c>
      <c r="B451" s="0" t="s">
        <v>966</v>
      </c>
      <c r="C451" s="0" t="s">
        <v>967</v>
      </c>
      <c r="D451" s="46" t="n">
        <v>46023</v>
      </c>
      <c r="E451" s="47" t="s">
        <v>55</v>
      </c>
      <c r="F451" s="48" t="n">
        <v>32760.43</v>
      </c>
      <c r="G451" s="47" t="s">
        <v>53</v>
      </c>
      <c r="H451" s="47" t="s">
        <v>40</v>
      </c>
      <c r="I451" s="47" t="s">
        <v>253</v>
      </c>
      <c r="J451" s="47" t="s">
        <v>28</v>
      </c>
      <c r="K451" s="47" t="s">
        <v>33</v>
      </c>
    </row>
    <row r="452" customFormat="false" ht="15" hidden="false" customHeight="false" outlineLevel="0" collapsed="false">
      <c r="A452" s="0" t="s">
        <v>968</v>
      </c>
      <c r="B452" s="0" t="s">
        <v>969</v>
      </c>
      <c r="D452" s="46" t="n">
        <v>46032</v>
      </c>
      <c r="E452" s="47" t="s">
        <v>55</v>
      </c>
      <c r="F452" s="48" t="n">
        <v>117262.71</v>
      </c>
      <c r="G452" s="47" t="s">
        <v>68</v>
      </c>
      <c r="H452" s="47" t="s">
        <v>46</v>
      </c>
      <c r="I452" s="47" t="s">
        <v>148</v>
      </c>
      <c r="J452" s="47" t="s">
        <v>28</v>
      </c>
      <c r="K452" s="47" t="s">
        <v>34</v>
      </c>
    </row>
    <row r="453" customFormat="false" ht="15" hidden="false" customHeight="false" outlineLevel="0" collapsed="false">
      <c r="A453" s="0" t="s">
        <v>970</v>
      </c>
      <c r="B453" s="0" t="s">
        <v>971</v>
      </c>
      <c r="D453" s="46" t="n">
        <v>45787</v>
      </c>
      <c r="E453" s="47" t="s">
        <v>55</v>
      </c>
      <c r="F453" s="48" t="n">
        <v>14775.85</v>
      </c>
      <c r="G453" s="47" t="s">
        <v>57</v>
      </c>
      <c r="H453" s="47" t="s">
        <v>47</v>
      </c>
      <c r="I453" s="47" t="s">
        <v>166</v>
      </c>
      <c r="J453" s="47" t="s">
        <v>28</v>
      </c>
      <c r="K453" s="47" t="s">
        <v>34</v>
      </c>
    </row>
    <row r="454" customFormat="false" ht="15" hidden="false" customHeight="false" outlineLevel="0" collapsed="false">
      <c r="A454" s="0" t="s">
        <v>972</v>
      </c>
      <c r="B454" s="0" t="s">
        <v>940</v>
      </c>
      <c r="D454" s="46" t="n">
        <v>45859</v>
      </c>
      <c r="E454" s="47" t="s">
        <v>58</v>
      </c>
      <c r="F454" s="48" t="n">
        <v>111321.59</v>
      </c>
      <c r="G454" s="47" t="s">
        <v>68</v>
      </c>
      <c r="H454" s="47" t="s">
        <v>48</v>
      </c>
      <c r="I454" s="47" t="s">
        <v>111</v>
      </c>
      <c r="J454" s="47" t="s">
        <v>30</v>
      </c>
      <c r="K454" s="47" t="s">
        <v>33</v>
      </c>
    </row>
    <row r="455" customFormat="false" ht="15" hidden="false" customHeight="false" outlineLevel="0" collapsed="false">
      <c r="A455" s="0" t="s">
        <v>973</v>
      </c>
      <c r="B455" s="0" t="s">
        <v>974</v>
      </c>
      <c r="D455" s="46" t="n">
        <v>46189</v>
      </c>
      <c r="E455" s="47" t="s">
        <v>53</v>
      </c>
      <c r="F455" s="48" t="n">
        <v>96999.99</v>
      </c>
      <c r="G455" s="47" t="s">
        <v>57</v>
      </c>
      <c r="H455" s="47" t="s">
        <v>43</v>
      </c>
      <c r="I455" s="47" t="s">
        <v>201</v>
      </c>
      <c r="J455" s="47" t="s">
        <v>28</v>
      </c>
      <c r="K455" s="47" t="s">
        <v>33</v>
      </c>
    </row>
    <row r="456" customFormat="false" ht="15" hidden="false" customHeight="false" outlineLevel="0" collapsed="false">
      <c r="A456" s="0" t="s">
        <v>975</v>
      </c>
      <c r="B456" s="0" t="s">
        <v>976</v>
      </c>
      <c r="D456" s="46" t="n">
        <v>46184</v>
      </c>
      <c r="E456" s="47" t="s">
        <v>58</v>
      </c>
      <c r="F456" s="48" t="n">
        <v>110134.01</v>
      </c>
      <c r="G456" s="47" t="s">
        <v>66</v>
      </c>
      <c r="H456" s="47" t="s">
        <v>46</v>
      </c>
      <c r="I456" s="47" t="s">
        <v>242</v>
      </c>
      <c r="J456" s="47" t="s">
        <v>28</v>
      </c>
      <c r="K456" s="47" t="s">
        <v>33</v>
      </c>
    </row>
    <row r="457" customFormat="false" ht="15" hidden="false" customHeight="false" outlineLevel="0" collapsed="false">
      <c r="A457" s="0" t="s">
        <v>977</v>
      </c>
      <c r="B457" s="0" t="s">
        <v>978</v>
      </c>
      <c r="D457" s="46" t="n">
        <v>46047</v>
      </c>
      <c r="E457" s="47" t="s">
        <v>61</v>
      </c>
      <c r="F457" s="48" t="n">
        <v>136025.18</v>
      </c>
      <c r="G457" s="47" t="s">
        <v>68</v>
      </c>
      <c r="H457" s="47" t="s">
        <v>47</v>
      </c>
      <c r="I457" s="47" t="s">
        <v>245</v>
      </c>
      <c r="J457" s="47" t="s">
        <v>28</v>
      </c>
      <c r="K457" s="47" t="s">
        <v>34</v>
      </c>
    </row>
    <row r="458" customFormat="false" ht="15" hidden="false" customHeight="false" outlineLevel="0" collapsed="false">
      <c r="A458" s="0" t="s">
        <v>979</v>
      </c>
      <c r="B458" s="0" t="s">
        <v>304</v>
      </c>
      <c r="D458" s="46" t="n">
        <v>45714</v>
      </c>
      <c r="E458" s="47" t="s">
        <v>58</v>
      </c>
      <c r="F458" s="48" t="n">
        <v>190493.18</v>
      </c>
      <c r="G458" s="47" t="s">
        <v>57</v>
      </c>
      <c r="H458" s="47" t="s">
        <v>39</v>
      </c>
      <c r="I458" s="47" t="s">
        <v>177</v>
      </c>
      <c r="J458" s="47" t="s">
        <v>28</v>
      </c>
      <c r="K458" s="47" t="s">
        <v>33</v>
      </c>
    </row>
    <row r="459" customFormat="false" ht="15" hidden="false" customHeight="false" outlineLevel="0" collapsed="false">
      <c r="A459" s="0" t="s">
        <v>980</v>
      </c>
      <c r="B459" s="0" t="s">
        <v>981</v>
      </c>
      <c r="D459" s="46" t="n">
        <v>45722</v>
      </c>
      <c r="E459" s="47" t="s">
        <v>60</v>
      </c>
      <c r="F459" s="48" t="n">
        <v>187801.91</v>
      </c>
      <c r="G459" s="47" t="s">
        <v>66</v>
      </c>
      <c r="H459" s="47" t="s">
        <v>45</v>
      </c>
      <c r="I459" s="47" t="s">
        <v>217</v>
      </c>
      <c r="J459" s="47" t="s">
        <v>28</v>
      </c>
      <c r="K459" s="47" t="s">
        <v>34</v>
      </c>
    </row>
    <row r="460" customFormat="false" ht="15" hidden="false" customHeight="false" outlineLevel="0" collapsed="false">
      <c r="A460" s="0" t="s">
        <v>982</v>
      </c>
      <c r="B460" s="0" t="s">
        <v>983</v>
      </c>
      <c r="D460" s="46" t="n">
        <v>46240</v>
      </c>
      <c r="E460" s="47" t="s">
        <v>60</v>
      </c>
      <c r="F460" s="48" t="n">
        <v>160905.94</v>
      </c>
      <c r="G460" s="47" t="s">
        <v>68</v>
      </c>
      <c r="H460" s="47" t="s">
        <v>47</v>
      </c>
      <c r="I460" s="47" t="s">
        <v>108</v>
      </c>
      <c r="J460" s="47" t="s">
        <v>28</v>
      </c>
      <c r="K460" s="47" t="s">
        <v>33</v>
      </c>
    </row>
    <row r="461" customFormat="false" ht="15" hidden="false" customHeight="false" outlineLevel="0" collapsed="false">
      <c r="A461" s="0" t="s">
        <v>984</v>
      </c>
      <c r="B461" s="0" t="s">
        <v>985</v>
      </c>
      <c r="D461" s="46" t="n">
        <v>45688</v>
      </c>
      <c r="E461" s="47" t="s">
        <v>62</v>
      </c>
      <c r="F461" s="48" t="n">
        <v>128550.18</v>
      </c>
      <c r="G461" s="47" t="s">
        <v>53</v>
      </c>
      <c r="H461" s="47" t="s">
        <v>48</v>
      </c>
      <c r="I461" s="47" t="s">
        <v>212</v>
      </c>
      <c r="J461" s="47" t="s">
        <v>29</v>
      </c>
      <c r="K461" s="47" t="s">
        <v>33</v>
      </c>
    </row>
    <row r="462" customFormat="false" ht="15" hidden="false" customHeight="false" outlineLevel="0" collapsed="false">
      <c r="A462" s="0" t="s">
        <v>986</v>
      </c>
      <c r="B462" s="0" t="s">
        <v>987</v>
      </c>
      <c r="D462" s="46" t="n">
        <v>45786</v>
      </c>
      <c r="E462" s="47" t="s">
        <v>61</v>
      </c>
      <c r="F462" s="48" t="n">
        <v>55613.61</v>
      </c>
      <c r="G462" s="47" t="s">
        <v>65</v>
      </c>
      <c r="H462" s="47" t="s">
        <v>43</v>
      </c>
      <c r="I462" s="47" t="s">
        <v>201</v>
      </c>
      <c r="J462" s="47" t="s">
        <v>28</v>
      </c>
      <c r="K462" s="47" t="s">
        <v>34</v>
      </c>
    </row>
    <row r="463" customFormat="false" ht="15" hidden="false" customHeight="false" outlineLevel="0" collapsed="false">
      <c r="A463" s="0" t="s">
        <v>988</v>
      </c>
      <c r="B463" s="0" t="s">
        <v>989</v>
      </c>
      <c r="D463" s="46" t="n">
        <v>46041</v>
      </c>
      <c r="E463" s="47" t="s">
        <v>59</v>
      </c>
      <c r="F463" s="48" t="n">
        <v>116045.59</v>
      </c>
      <c r="G463" s="47" t="s">
        <v>66</v>
      </c>
      <c r="H463" s="47" t="s">
        <v>48</v>
      </c>
      <c r="I463" s="47" t="s">
        <v>212</v>
      </c>
      <c r="J463" s="47" t="s">
        <v>30</v>
      </c>
      <c r="K463" s="47" t="s">
        <v>33</v>
      </c>
    </row>
    <row r="464" customFormat="false" ht="15" hidden="false" customHeight="false" outlineLevel="0" collapsed="false">
      <c r="A464" s="0" t="s">
        <v>990</v>
      </c>
      <c r="B464" s="0" t="s">
        <v>991</v>
      </c>
      <c r="D464" s="46" t="n">
        <v>46146</v>
      </c>
      <c r="E464" s="47" t="s">
        <v>55</v>
      </c>
      <c r="F464" s="48" t="n">
        <v>60196.44</v>
      </c>
      <c r="G464" s="47" t="s">
        <v>68</v>
      </c>
      <c r="H464" s="47" t="s">
        <v>47</v>
      </c>
      <c r="I464" s="47" t="s">
        <v>245</v>
      </c>
      <c r="J464" s="47" t="s">
        <v>28</v>
      </c>
      <c r="K464" s="47" t="s">
        <v>33</v>
      </c>
    </row>
    <row r="465" customFormat="false" ht="15" hidden="false" customHeight="false" outlineLevel="0" collapsed="false">
      <c r="A465" s="0" t="s">
        <v>992</v>
      </c>
      <c r="B465" s="0" t="s">
        <v>203</v>
      </c>
      <c r="C465" s="0" t="s">
        <v>993</v>
      </c>
      <c r="D465" s="46" t="n">
        <v>45895</v>
      </c>
      <c r="E465" s="47" t="s">
        <v>53</v>
      </c>
      <c r="F465" s="48" t="n">
        <v>109910.88</v>
      </c>
      <c r="G465" s="47" t="s">
        <v>66</v>
      </c>
      <c r="H465" s="47" t="s">
        <v>39</v>
      </c>
      <c r="I465" s="47" t="s">
        <v>177</v>
      </c>
      <c r="J465" s="47" t="s">
        <v>28</v>
      </c>
      <c r="K465" s="47" t="s">
        <v>34</v>
      </c>
    </row>
    <row r="466" customFormat="false" ht="15" hidden="false" customHeight="false" outlineLevel="0" collapsed="false">
      <c r="A466" s="0" t="s">
        <v>994</v>
      </c>
      <c r="B466" s="0" t="s">
        <v>502</v>
      </c>
      <c r="C466" s="0" t="s">
        <v>995</v>
      </c>
      <c r="D466" s="46" t="n">
        <v>46257</v>
      </c>
      <c r="E466" s="47" t="s">
        <v>55</v>
      </c>
      <c r="F466" s="48" t="n">
        <v>81321.6</v>
      </c>
      <c r="G466" s="47" t="s">
        <v>53</v>
      </c>
      <c r="H466" s="47" t="s">
        <v>43</v>
      </c>
      <c r="I466" s="47" t="s">
        <v>102</v>
      </c>
      <c r="J466" s="47" t="s">
        <v>29</v>
      </c>
      <c r="K466" s="47" t="s">
        <v>33</v>
      </c>
    </row>
    <row r="467" customFormat="false" ht="15" hidden="false" customHeight="false" outlineLevel="0" collapsed="false">
      <c r="A467" s="0" t="s">
        <v>996</v>
      </c>
      <c r="B467" s="0" t="s">
        <v>997</v>
      </c>
      <c r="D467" s="46" t="n">
        <v>45943</v>
      </c>
      <c r="E467" s="47" t="s">
        <v>58</v>
      </c>
      <c r="F467" s="48" t="n">
        <v>89287.98</v>
      </c>
      <c r="G467" s="47" t="s">
        <v>68</v>
      </c>
      <c r="H467" s="47" t="s">
        <v>39</v>
      </c>
      <c r="I467" s="47" t="s">
        <v>98</v>
      </c>
      <c r="J467" s="47" t="s">
        <v>28</v>
      </c>
      <c r="K467" s="47" t="s">
        <v>34</v>
      </c>
    </row>
    <row r="468" customFormat="false" ht="15" hidden="false" customHeight="false" outlineLevel="0" collapsed="false">
      <c r="A468" s="0" t="s">
        <v>998</v>
      </c>
      <c r="B468" s="0" t="s">
        <v>875</v>
      </c>
      <c r="D468" s="46" t="n">
        <v>45878</v>
      </c>
      <c r="E468" s="47" t="s">
        <v>60</v>
      </c>
      <c r="F468" s="48" t="n">
        <v>68782.77</v>
      </c>
      <c r="G468" s="47" t="s">
        <v>57</v>
      </c>
      <c r="H468" s="47" t="s">
        <v>45</v>
      </c>
      <c r="I468" s="47" t="s">
        <v>95</v>
      </c>
      <c r="J468" s="47" t="s">
        <v>28</v>
      </c>
      <c r="K468" s="47" t="s">
        <v>34</v>
      </c>
    </row>
    <row r="469" customFormat="false" ht="15" hidden="false" customHeight="false" outlineLevel="0" collapsed="false">
      <c r="A469" s="0" t="s">
        <v>999</v>
      </c>
      <c r="B469" s="0" t="s">
        <v>1000</v>
      </c>
      <c r="D469" s="46" t="n">
        <v>45724</v>
      </c>
      <c r="E469" s="47" t="s">
        <v>55</v>
      </c>
      <c r="F469" s="48" t="n">
        <v>88461.97</v>
      </c>
      <c r="G469" s="47" t="s">
        <v>68</v>
      </c>
      <c r="H469" s="47" t="s">
        <v>41</v>
      </c>
      <c r="I469" s="47" t="s">
        <v>272</v>
      </c>
      <c r="J469" s="47" t="s">
        <v>28</v>
      </c>
      <c r="K469" s="47" t="s">
        <v>34</v>
      </c>
    </row>
    <row r="470" customFormat="false" ht="15" hidden="false" customHeight="false" outlineLevel="0" collapsed="false">
      <c r="A470" s="0" t="s">
        <v>1001</v>
      </c>
      <c r="B470" s="0" t="s">
        <v>203</v>
      </c>
      <c r="D470" s="46" t="n">
        <v>46136</v>
      </c>
      <c r="E470" s="47" t="s">
        <v>60</v>
      </c>
      <c r="F470" s="48" t="n">
        <v>179964.82</v>
      </c>
      <c r="G470" s="47" t="s">
        <v>65</v>
      </c>
      <c r="H470" s="47" t="s">
        <v>39</v>
      </c>
      <c r="I470" s="47" t="s">
        <v>177</v>
      </c>
      <c r="J470" s="47" t="s">
        <v>28</v>
      </c>
      <c r="K470" s="47" t="s">
        <v>33</v>
      </c>
    </row>
    <row r="471" customFormat="false" ht="15" hidden="false" customHeight="false" outlineLevel="0" collapsed="false">
      <c r="A471" s="0" t="s">
        <v>1002</v>
      </c>
      <c r="B471" s="0" t="s">
        <v>1003</v>
      </c>
      <c r="D471" s="46" t="n">
        <v>46166</v>
      </c>
      <c r="E471" s="47" t="s">
        <v>53</v>
      </c>
      <c r="F471" s="48" t="n">
        <v>90070.78</v>
      </c>
      <c r="G471" s="47" t="s">
        <v>65</v>
      </c>
      <c r="H471" s="47" t="s">
        <v>40</v>
      </c>
      <c r="I471" s="47" t="s">
        <v>89</v>
      </c>
      <c r="J471" s="47" t="s">
        <v>28</v>
      </c>
      <c r="K471" s="47" t="s">
        <v>34</v>
      </c>
    </row>
    <row r="472" customFormat="false" ht="15" hidden="false" customHeight="false" outlineLevel="0" collapsed="false">
      <c r="A472" s="0" t="s">
        <v>1004</v>
      </c>
      <c r="B472" s="0" t="s">
        <v>1005</v>
      </c>
      <c r="C472" s="0" t="s">
        <v>1006</v>
      </c>
      <c r="D472" s="46" t="n">
        <v>45780</v>
      </c>
      <c r="E472" s="47" t="s">
        <v>53</v>
      </c>
      <c r="F472" s="48" t="n">
        <v>188764.91</v>
      </c>
      <c r="G472" s="47" t="s">
        <v>53</v>
      </c>
      <c r="H472" s="47" t="s">
        <v>40</v>
      </c>
      <c r="I472" s="47" t="s">
        <v>83</v>
      </c>
      <c r="J472" s="47" t="s">
        <v>28</v>
      </c>
      <c r="K472" s="47" t="s">
        <v>34</v>
      </c>
    </row>
    <row r="473" customFormat="false" ht="15" hidden="false" customHeight="false" outlineLevel="0" collapsed="false">
      <c r="A473" s="0" t="s">
        <v>1007</v>
      </c>
      <c r="B473" s="0" t="s">
        <v>713</v>
      </c>
      <c r="D473" s="46" t="n">
        <v>45977</v>
      </c>
      <c r="E473" s="47" t="s">
        <v>62</v>
      </c>
      <c r="F473" s="48" t="n">
        <v>31179.97</v>
      </c>
      <c r="G473" s="47" t="s">
        <v>65</v>
      </c>
      <c r="H473" s="47" t="s">
        <v>48</v>
      </c>
      <c r="I473" s="47" t="s">
        <v>212</v>
      </c>
      <c r="J473" s="47" t="s">
        <v>28</v>
      </c>
      <c r="K473" s="47" t="s">
        <v>33</v>
      </c>
    </row>
    <row r="474" customFormat="false" ht="15" hidden="false" customHeight="false" outlineLevel="0" collapsed="false">
      <c r="A474" s="0" t="s">
        <v>1008</v>
      </c>
      <c r="B474" s="0" t="s">
        <v>1009</v>
      </c>
      <c r="D474" s="46" t="n">
        <v>46167</v>
      </c>
      <c r="E474" s="47" t="s">
        <v>53</v>
      </c>
      <c r="F474" s="48" t="n">
        <v>185698.56</v>
      </c>
      <c r="G474" s="47" t="s">
        <v>66</v>
      </c>
      <c r="H474" s="47" t="s">
        <v>47</v>
      </c>
      <c r="I474" s="47" t="s">
        <v>166</v>
      </c>
      <c r="J474" s="47" t="s">
        <v>28</v>
      </c>
      <c r="K474" s="47" t="s">
        <v>34</v>
      </c>
    </row>
    <row r="475" customFormat="false" ht="15" hidden="false" customHeight="false" outlineLevel="0" collapsed="false">
      <c r="A475" s="0" t="s">
        <v>1010</v>
      </c>
      <c r="B475" s="0" t="s">
        <v>107</v>
      </c>
      <c r="D475" s="46" t="n">
        <v>45841</v>
      </c>
      <c r="E475" s="47" t="s">
        <v>59</v>
      </c>
      <c r="F475" s="48" t="n">
        <v>93552.28</v>
      </c>
      <c r="G475" s="47" t="s">
        <v>57</v>
      </c>
      <c r="H475" s="47" t="s">
        <v>47</v>
      </c>
      <c r="I475" s="47" t="s">
        <v>108</v>
      </c>
      <c r="J475" s="47" t="s">
        <v>28</v>
      </c>
      <c r="K475" s="47" t="s">
        <v>33</v>
      </c>
    </row>
    <row r="476" customFormat="false" ht="15" hidden="false" customHeight="false" outlineLevel="0" collapsed="false">
      <c r="A476" s="0" t="s">
        <v>1011</v>
      </c>
      <c r="B476" s="0" t="s">
        <v>1012</v>
      </c>
      <c r="D476" s="46" t="n">
        <v>46227</v>
      </c>
      <c r="E476" s="47" t="s">
        <v>61</v>
      </c>
      <c r="F476" s="48" t="n">
        <v>141296.18</v>
      </c>
      <c r="G476" s="47" t="s">
        <v>66</v>
      </c>
      <c r="H476" s="47" t="s">
        <v>47</v>
      </c>
      <c r="I476" s="47" t="s">
        <v>166</v>
      </c>
      <c r="J476" s="47" t="s">
        <v>28</v>
      </c>
      <c r="K476" s="47" t="s">
        <v>34</v>
      </c>
    </row>
    <row r="477" customFormat="false" ht="15" hidden="false" customHeight="false" outlineLevel="0" collapsed="false">
      <c r="A477" s="0" t="s">
        <v>1013</v>
      </c>
      <c r="B477" s="0" t="s">
        <v>1014</v>
      </c>
      <c r="D477" s="46" t="n">
        <v>45736</v>
      </c>
      <c r="E477" s="47" t="s">
        <v>61</v>
      </c>
      <c r="F477" s="48" t="n">
        <v>191559.89</v>
      </c>
      <c r="G477" s="47" t="s">
        <v>53</v>
      </c>
      <c r="H477" s="47" t="s">
        <v>40</v>
      </c>
      <c r="I477" s="47" t="s">
        <v>253</v>
      </c>
      <c r="J477" s="47" t="s">
        <v>28</v>
      </c>
      <c r="K477" s="47" t="s">
        <v>34</v>
      </c>
    </row>
    <row r="478" customFormat="false" ht="15" hidden="false" customHeight="false" outlineLevel="0" collapsed="false">
      <c r="A478" s="0" t="s">
        <v>1015</v>
      </c>
      <c r="B478" s="0" t="s">
        <v>1016</v>
      </c>
      <c r="D478" s="46" t="n">
        <v>45854</v>
      </c>
      <c r="E478" s="47" t="s">
        <v>60</v>
      </c>
      <c r="F478" s="48" t="n">
        <v>187847.54</v>
      </c>
      <c r="G478" s="47" t="s">
        <v>65</v>
      </c>
      <c r="H478" s="47" t="s">
        <v>47</v>
      </c>
      <c r="I478" s="47" t="s">
        <v>108</v>
      </c>
      <c r="J478" s="47" t="s">
        <v>28</v>
      </c>
      <c r="K478" s="47" t="s">
        <v>34</v>
      </c>
    </row>
    <row r="479" customFormat="false" ht="15" hidden="false" customHeight="false" outlineLevel="0" collapsed="false">
      <c r="A479" s="0" t="s">
        <v>1017</v>
      </c>
      <c r="B479" s="0" t="s">
        <v>692</v>
      </c>
      <c r="D479" s="46" t="n">
        <v>45732</v>
      </c>
      <c r="E479" s="47" t="s">
        <v>55</v>
      </c>
      <c r="F479" s="48" t="n">
        <v>127294.26</v>
      </c>
      <c r="G479" s="47" t="s">
        <v>65</v>
      </c>
      <c r="H479" s="47" t="s">
        <v>41</v>
      </c>
      <c r="I479" s="47" t="s">
        <v>86</v>
      </c>
      <c r="J479" s="47" t="s">
        <v>28</v>
      </c>
      <c r="K479" s="47" t="s">
        <v>33</v>
      </c>
    </row>
    <row r="480" customFormat="false" ht="15" hidden="false" customHeight="false" outlineLevel="0" collapsed="false">
      <c r="A480" s="0" t="s">
        <v>1018</v>
      </c>
      <c r="B480" s="0" t="s">
        <v>342</v>
      </c>
      <c r="D480" s="46" t="n">
        <v>46101</v>
      </c>
      <c r="E480" s="47" t="s">
        <v>62</v>
      </c>
      <c r="F480" s="48" t="n">
        <v>182268.56</v>
      </c>
      <c r="G480" s="47" t="s">
        <v>57</v>
      </c>
      <c r="H480" s="47" t="s">
        <v>46</v>
      </c>
      <c r="I480" s="47" t="s">
        <v>148</v>
      </c>
      <c r="J480" s="47" t="s">
        <v>28</v>
      </c>
      <c r="K480" s="47" t="s">
        <v>33</v>
      </c>
    </row>
    <row r="481" customFormat="false" ht="15" hidden="false" customHeight="false" outlineLevel="0" collapsed="false">
      <c r="A481" s="0" t="s">
        <v>1019</v>
      </c>
      <c r="B481" s="0" t="s">
        <v>1020</v>
      </c>
      <c r="C481" s="0" t="s">
        <v>1021</v>
      </c>
      <c r="D481" s="46" t="n">
        <v>46137</v>
      </c>
      <c r="E481" s="47" t="s">
        <v>55</v>
      </c>
      <c r="F481" s="48" t="n">
        <v>190500.52</v>
      </c>
      <c r="G481" s="47" t="s">
        <v>57</v>
      </c>
      <c r="H481" s="47" t="s">
        <v>45</v>
      </c>
      <c r="I481" s="47" t="s">
        <v>151</v>
      </c>
      <c r="J481" s="47" t="s">
        <v>28</v>
      </c>
      <c r="K481" s="47" t="s">
        <v>34</v>
      </c>
    </row>
    <row r="482" customFormat="false" ht="15" hidden="false" customHeight="false" outlineLevel="0" collapsed="false">
      <c r="A482" s="0" t="s">
        <v>1022</v>
      </c>
      <c r="B482" s="0" t="s">
        <v>944</v>
      </c>
      <c r="D482" s="46" t="n">
        <v>45727</v>
      </c>
      <c r="E482" s="47" t="s">
        <v>60</v>
      </c>
      <c r="F482" s="48" t="n">
        <v>25894.87</v>
      </c>
      <c r="G482" s="47" t="s">
        <v>68</v>
      </c>
      <c r="H482" s="47" t="s">
        <v>45</v>
      </c>
      <c r="I482" s="47" t="s">
        <v>217</v>
      </c>
      <c r="J482" s="47" t="s">
        <v>28</v>
      </c>
      <c r="K482" s="47" t="s">
        <v>33</v>
      </c>
    </row>
    <row r="483" customFormat="false" ht="15" hidden="false" customHeight="false" outlineLevel="0" collapsed="false">
      <c r="A483" s="0" t="s">
        <v>1023</v>
      </c>
      <c r="B483" s="0" t="s">
        <v>1024</v>
      </c>
      <c r="D483" s="46" t="n">
        <v>46237</v>
      </c>
      <c r="E483" s="47" t="s">
        <v>62</v>
      </c>
      <c r="F483" s="48" t="n">
        <v>46403.73</v>
      </c>
      <c r="G483" s="47" t="s">
        <v>66</v>
      </c>
      <c r="H483" s="47" t="s">
        <v>43</v>
      </c>
      <c r="I483" s="47" t="s">
        <v>102</v>
      </c>
      <c r="J483" s="47" t="s">
        <v>29</v>
      </c>
      <c r="K483" s="47" t="s">
        <v>34</v>
      </c>
    </row>
    <row r="484" customFormat="false" ht="15" hidden="false" customHeight="false" outlineLevel="0" collapsed="false">
      <c r="A484" s="0" t="s">
        <v>1025</v>
      </c>
      <c r="B484" s="0" t="s">
        <v>360</v>
      </c>
      <c r="C484" s="0" t="s">
        <v>1026</v>
      </c>
      <c r="D484" s="46" t="n">
        <v>45720</v>
      </c>
      <c r="E484" s="47" t="s">
        <v>62</v>
      </c>
      <c r="F484" s="48" t="n">
        <v>95681.19</v>
      </c>
      <c r="G484" s="47" t="s">
        <v>66</v>
      </c>
      <c r="H484" s="47" t="s">
        <v>44</v>
      </c>
      <c r="I484" s="47" t="s">
        <v>132</v>
      </c>
      <c r="J484" s="47" t="s">
        <v>28</v>
      </c>
      <c r="K484" s="47" t="s">
        <v>34</v>
      </c>
    </row>
    <row r="485" customFormat="false" ht="15" hidden="false" customHeight="false" outlineLevel="0" collapsed="false">
      <c r="A485" s="0" t="s">
        <v>1027</v>
      </c>
      <c r="B485" s="0" t="s">
        <v>1028</v>
      </c>
      <c r="D485" s="46" t="n">
        <v>45750</v>
      </c>
      <c r="E485" s="47" t="s">
        <v>59</v>
      </c>
      <c r="F485" s="48" t="n">
        <v>73672.36</v>
      </c>
      <c r="G485" s="47" t="s">
        <v>68</v>
      </c>
      <c r="H485" s="47" t="s">
        <v>39</v>
      </c>
      <c r="I485" s="47" t="s">
        <v>177</v>
      </c>
      <c r="J485" s="47" t="s">
        <v>28</v>
      </c>
      <c r="K485" s="47" t="s">
        <v>34</v>
      </c>
    </row>
    <row r="486" customFormat="false" ht="15" hidden="false" customHeight="false" outlineLevel="0" collapsed="false">
      <c r="A486" s="0" t="s">
        <v>1029</v>
      </c>
      <c r="B486" s="0" t="s">
        <v>1030</v>
      </c>
      <c r="D486" s="46" t="n">
        <v>46101</v>
      </c>
      <c r="E486" s="47" t="s">
        <v>58</v>
      </c>
      <c r="F486" s="48" t="n">
        <v>159405.35</v>
      </c>
      <c r="G486" s="47" t="s">
        <v>66</v>
      </c>
      <c r="H486" s="47" t="s">
        <v>39</v>
      </c>
      <c r="I486" s="47" t="s">
        <v>98</v>
      </c>
      <c r="J486" s="47" t="s">
        <v>28</v>
      </c>
      <c r="K486" s="47" t="s">
        <v>33</v>
      </c>
    </row>
    <row r="487" customFormat="false" ht="15" hidden="false" customHeight="false" outlineLevel="0" collapsed="false">
      <c r="A487" s="0" t="s">
        <v>1031</v>
      </c>
      <c r="B487" s="0" t="s">
        <v>1032</v>
      </c>
      <c r="C487" s="0" t="s">
        <v>1033</v>
      </c>
      <c r="D487" s="46" t="n">
        <v>46243</v>
      </c>
      <c r="E487" s="47" t="s">
        <v>60</v>
      </c>
      <c r="F487" s="48" t="n">
        <v>40372.79</v>
      </c>
      <c r="G487" s="47" t="s">
        <v>66</v>
      </c>
      <c r="H487" s="47" t="s">
        <v>48</v>
      </c>
      <c r="I487" s="47" t="s">
        <v>212</v>
      </c>
      <c r="J487" s="47" t="s">
        <v>28</v>
      </c>
      <c r="K487" s="47" t="s">
        <v>33</v>
      </c>
    </row>
    <row r="488" customFormat="false" ht="15" hidden="false" customHeight="false" outlineLevel="0" collapsed="false">
      <c r="A488" s="0" t="s">
        <v>1034</v>
      </c>
      <c r="B488" s="0" t="s">
        <v>929</v>
      </c>
      <c r="C488" s="0" t="s">
        <v>1035</v>
      </c>
      <c r="D488" s="46" t="n">
        <v>46175</v>
      </c>
      <c r="E488" s="47" t="s">
        <v>61</v>
      </c>
      <c r="F488" s="48" t="n">
        <v>5704.32</v>
      </c>
      <c r="G488" s="47" t="s">
        <v>68</v>
      </c>
      <c r="H488" s="47" t="s">
        <v>48</v>
      </c>
      <c r="I488" s="47" t="s">
        <v>114</v>
      </c>
      <c r="J488" s="47" t="s">
        <v>28</v>
      </c>
      <c r="K488" s="47" t="s">
        <v>34</v>
      </c>
    </row>
    <row r="489" customFormat="false" ht="15" hidden="false" customHeight="false" outlineLevel="0" collapsed="false">
      <c r="A489" s="0" t="s">
        <v>1036</v>
      </c>
      <c r="B489" s="0" t="s">
        <v>335</v>
      </c>
      <c r="D489" s="46" t="n">
        <v>46145</v>
      </c>
      <c r="E489" s="47" t="s">
        <v>53</v>
      </c>
      <c r="F489" s="48" t="n">
        <v>53502.44</v>
      </c>
      <c r="G489" s="47" t="s">
        <v>57</v>
      </c>
      <c r="H489" s="47" t="s">
        <v>39</v>
      </c>
      <c r="I489" s="47" t="s">
        <v>177</v>
      </c>
      <c r="J489" s="47" t="s">
        <v>28</v>
      </c>
      <c r="K489" s="47" t="s">
        <v>34</v>
      </c>
    </row>
    <row r="490" customFormat="false" ht="15" hidden="false" customHeight="false" outlineLevel="0" collapsed="false">
      <c r="A490" s="0" t="s">
        <v>1037</v>
      </c>
      <c r="B490" s="0" t="s">
        <v>795</v>
      </c>
      <c r="D490" s="46" t="n">
        <v>46239</v>
      </c>
      <c r="E490" s="47" t="s">
        <v>60</v>
      </c>
      <c r="F490" s="48" t="n">
        <v>20062.89</v>
      </c>
      <c r="G490" s="47" t="s">
        <v>65</v>
      </c>
      <c r="H490" s="47" t="s">
        <v>41</v>
      </c>
      <c r="I490" s="47" t="s">
        <v>272</v>
      </c>
      <c r="J490" s="47" t="s">
        <v>28</v>
      </c>
      <c r="K490" s="47" t="s">
        <v>33</v>
      </c>
    </row>
    <row r="491" customFormat="false" ht="15" hidden="false" customHeight="false" outlineLevel="0" collapsed="false">
      <c r="A491" s="0" t="s">
        <v>1038</v>
      </c>
      <c r="B491" s="0" t="s">
        <v>183</v>
      </c>
      <c r="D491" s="46" t="n">
        <v>45816</v>
      </c>
      <c r="E491" s="47" t="s">
        <v>61</v>
      </c>
      <c r="F491" s="48" t="n">
        <v>114338.47</v>
      </c>
      <c r="G491" s="47" t="s">
        <v>66</v>
      </c>
      <c r="H491" s="47" t="s">
        <v>42</v>
      </c>
      <c r="I491" s="47" t="s">
        <v>105</v>
      </c>
      <c r="J491" s="47" t="s">
        <v>28</v>
      </c>
      <c r="K491" s="47" t="s">
        <v>34</v>
      </c>
    </row>
    <row r="492" customFormat="false" ht="15" hidden="false" customHeight="false" outlineLevel="0" collapsed="false">
      <c r="A492" s="0" t="s">
        <v>1039</v>
      </c>
      <c r="B492" s="0" t="s">
        <v>1040</v>
      </c>
      <c r="D492" s="46" t="n">
        <v>45699</v>
      </c>
      <c r="E492" s="47" t="s">
        <v>59</v>
      </c>
      <c r="F492" s="48" t="n">
        <v>149139.15</v>
      </c>
      <c r="G492" s="47" t="s">
        <v>65</v>
      </c>
      <c r="H492" s="47" t="s">
        <v>41</v>
      </c>
      <c r="I492" s="47" t="s">
        <v>293</v>
      </c>
      <c r="J492" s="47" t="s">
        <v>29</v>
      </c>
      <c r="K492" s="47" t="s">
        <v>33</v>
      </c>
    </row>
    <row r="493" customFormat="false" ht="15" hidden="false" customHeight="false" outlineLevel="0" collapsed="false">
      <c r="A493" s="0" t="s">
        <v>1041</v>
      </c>
      <c r="B493" s="0" t="s">
        <v>1042</v>
      </c>
      <c r="D493" s="46" t="n">
        <v>46188</v>
      </c>
      <c r="E493" s="47" t="s">
        <v>55</v>
      </c>
      <c r="F493" s="48" t="n">
        <v>38254.8</v>
      </c>
      <c r="G493" s="47" t="s">
        <v>65</v>
      </c>
      <c r="H493" s="47" t="s">
        <v>47</v>
      </c>
      <c r="I493" s="47" t="s">
        <v>166</v>
      </c>
      <c r="J493" s="47" t="s">
        <v>28</v>
      </c>
      <c r="K493" s="47" t="s">
        <v>34</v>
      </c>
    </row>
    <row r="494" customFormat="false" ht="15" hidden="false" customHeight="false" outlineLevel="0" collapsed="false">
      <c r="A494" s="0" t="s">
        <v>1043</v>
      </c>
      <c r="B494" s="0" t="s">
        <v>674</v>
      </c>
      <c r="D494" s="46" t="n">
        <v>45935</v>
      </c>
      <c r="E494" s="47" t="s">
        <v>58</v>
      </c>
      <c r="F494" s="48" t="n">
        <v>89486.79</v>
      </c>
      <c r="G494" s="47" t="s">
        <v>65</v>
      </c>
      <c r="H494" s="47" t="s">
        <v>42</v>
      </c>
      <c r="I494" s="47" t="s">
        <v>105</v>
      </c>
      <c r="J494" s="47" t="s">
        <v>28</v>
      </c>
      <c r="K494" s="47" t="s">
        <v>33</v>
      </c>
    </row>
    <row r="495" customFormat="false" ht="15" hidden="false" customHeight="false" outlineLevel="0" collapsed="false">
      <c r="A495" s="0" t="s">
        <v>1044</v>
      </c>
      <c r="B495" s="0" t="s">
        <v>1045</v>
      </c>
      <c r="C495" s="0" t="s">
        <v>1046</v>
      </c>
      <c r="D495" s="46" t="n">
        <v>46148</v>
      </c>
      <c r="E495" s="47" t="s">
        <v>58</v>
      </c>
      <c r="F495" s="48" t="n">
        <v>158168.33</v>
      </c>
      <c r="G495" s="47" t="s">
        <v>66</v>
      </c>
      <c r="H495" s="47" t="s">
        <v>41</v>
      </c>
      <c r="I495" s="47" t="s">
        <v>293</v>
      </c>
      <c r="J495" s="47" t="s">
        <v>28</v>
      </c>
      <c r="K495" s="47" t="s">
        <v>34</v>
      </c>
    </row>
    <row r="496" customFormat="false" ht="15" hidden="false" customHeight="false" outlineLevel="0" collapsed="false">
      <c r="A496" s="0" t="s">
        <v>1047</v>
      </c>
      <c r="B496" s="0" t="s">
        <v>350</v>
      </c>
      <c r="D496" s="46" t="n">
        <v>46097</v>
      </c>
      <c r="E496" s="47" t="s">
        <v>53</v>
      </c>
      <c r="F496" s="48" t="n">
        <v>131700.79</v>
      </c>
      <c r="G496" s="47" t="s">
        <v>65</v>
      </c>
      <c r="H496" s="47" t="s">
        <v>44</v>
      </c>
      <c r="I496" s="47" t="s">
        <v>80</v>
      </c>
      <c r="J496" s="47" t="s">
        <v>28</v>
      </c>
      <c r="K496" s="47" t="s">
        <v>33</v>
      </c>
    </row>
    <row r="497" customFormat="false" ht="15" hidden="false" customHeight="false" outlineLevel="0" collapsed="false">
      <c r="A497" s="0" t="s">
        <v>1048</v>
      </c>
      <c r="B497" s="0" t="s">
        <v>475</v>
      </c>
      <c r="D497" s="46" t="n">
        <v>45668</v>
      </c>
      <c r="E497" s="47" t="s">
        <v>59</v>
      </c>
      <c r="F497" s="48" t="n">
        <v>175556.75</v>
      </c>
      <c r="G497" s="47" t="s">
        <v>57</v>
      </c>
      <c r="H497" s="47" t="s">
        <v>42</v>
      </c>
      <c r="I497" s="47" t="s">
        <v>398</v>
      </c>
      <c r="J497" s="47" t="s">
        <v>28</v>
      </c>
      <c r="K497" s="47" t="s">
        <v>34</v>
      </c>
    </row>
    <row r="498" customFormat="false" ht="15" hidden="false" customHeight="false" outlineLevel="0" collapsed="false">
      <c r="A498" s="0" t="s">
        <v>1049</v>
      </c>
      <c r="B498" s="0" t="s">
        <v>1050</v>
      </c>
      <c r="D498" s="46" t="n">
        <v>45675</v>
      </c>
      <c r="E498" s="47" t="s">
        <v>58</v>
      </c>
      <c r="F498" s="48" t="n">
        <v>56516.14</v>
      </c>
      <c r="G498" s="47" t="s">
        <v>57</v>
      </c>
      <c r="H498" s="47" t="s">
        <v>42</v>
      </c>
      <c r="I498" s="47" t="s">
        <v>137</v>
      </c>
      <c r="J498" s="47" t="s">
        <v>28</v>
      </c>
      <c r="K498" s="47" t="s">
        <v>33</v>
      </c>
    </row>
    <row r="499" customFormat="false" ht="15" hidden="false" customHeight="false" outlineLevel="0" collapsed="false">
      <c r="A499" s="0" t="s">
        <v>1051</v>
      </c>
      <c r="B499" s="0" t="s">
        <v>1052</v>
      </c>
      <c r="D499" s="46" t="n">
        <v>45898</v>
      </c>
      <c r="E499" s="47" t="s">
        <v>53</v>
      </c>
      <c r="F499" s="48" t="n">
        <v>74208.96</v>
      </c>
      <c r="G499" s="47" t="s">
        <v>65</v>
      </c>
      <c r="H499" s="47" t="s">
        <v>44</v>
      </c>
      <c r="I499" s="47" t="s">
        <v>80</v>
      </c>
      <c r="J499" s="47" t="s">
        <v>28</v>
      </c>
      <c r="K499" s="47" t="s">
        <v>33</v>
      </c>
    </row>
    <row r="500" customFormat="false" ht="15" hidden="false" customHeight="false" outlineLevel="0" collapsed="false">
      <c r="A500" s="0" t="s">
        <v>1053</v>
      </c>
      <c r="B500" s="0" t="s">
        <v>1054</v>
      </c>
      <c r="D500" s="46" t="n">
        <v>45667</v>
      </c>
      <c r="E500" s="47" t="s">
        <v>59</v>
      </c>
      <c r="F500" s="48" t="n">
        <v>45718.54</v>
      </c>
      <c r="G500" s="47" t="s">
        <v>57</v>
      </c>
      <c r="H500" s="47" t="s">
        <v>39</v>
      </c>
      <c r="I500" s="47" t="s">
        <v>145</v>
      </c>
      <c r="J500" s="47" t="s">
        <v>28</v>
      </c>
      <c r="K500" s="47" t="s">
        <v>34</v>
      </c>
    </row>
    <row r="501" customFormat="false" ht="15" hidden="false" customHeight="false" outlineLevel="0" collapsed="false">
      <c r="A501" s="0" t="s">
        <v>1055</v>
      </c>
      <c r="B501" s="0" t="s">
        <v>921</v>
      </c>
      <c r="D501" s="46" t="n">
        <v>46263</v>
      </c>
      <c r="E501" s="47" t="s">
        <v>61</v>
      </c>
      <c r="F501" s="48" t="n">
        <v>68861.24</v>
      </c>
      <c r="G501" s="47" t="s">
        <v>65</v>
      </c>
      <c r="H501" s="47" t="s">
        <v>47</v>
      </c>
      <c r="I501" s="47" t="s">
        <v>108</v>
      </c>
      <c r="J501" s="47" t="s">
        <v>28</v>
      </c>
      <c r="K501" s="47" t="s">
        <v>33</v>
      </c>
    </row>
    <row r="502" customFormat="false" ht="15" hidden="false" customHeight="false" outlineLevel="0" collapsed="false">
      <c r="A502" s="0" t="s">
        <v>1056</v>
      </c>
      <c r="B502" s="0" t="s">
        <v>406</v>
      </c>
      <c r="D502" s="46" t="n">
        <v>45861</v>
      </c>
      <c r="E502" s="47" t="s">
        <v>53</v>
      </c>
      <c r="F502" s="48" t="n">
        <v>183278.17</v>
      </c>
      <c r="G502" s="47" t="s">
        <v>53</v>
      </c>
      <c r="H502" s="47" t="s">
        <v>39</v>
      </c>
      <c r="I502" s="47" t="s">
        <v>98</v>
      </c>
      <c r="J502" s="47" t="s">
        <v>30</v>
      </c>
      <c r="K502" s="47" t="s">
        <v>34</v>
      </c>
    </row>
    <row r="503" customFormat="false" ht="15" hidden="false" customHeight="false" outlineLevel="0" collapsed="false">
      <c r="A503" s="0" t="s">
        <v>1057</v>
      </c>
      <c r="B503" s="0" t="s">
        <v>645</v>
      </c>
      <c r="D503" s="46" t="n">
        <v>45692</v>
      </c>
      <c r="E503" s="47" t="s">
        <v>61</v>
      </c>
      <c r="F503" s="48" t="n">
        <v>67452.18</v>
      </c>
      <c r="G503" s="47" t="s">
        <v>57</v>
      </c>
      <c r="H503" s="47" t="s">
        <v>43</v>
      </c>
      <c r="I503" s="47" t="s">
        <v>201</v>
      </c>
      <c r="J503" s="47" t="s">
        <v>28</v>
      </c>
      <c r="K503" s="47" t="s">
        <v>33</v>
      </c>
    </row>
    <row r="504" customFormat="false" ht="15" hidden="false" customHeight="false" outlineLevel="0" collapsed="false">
      <c r="A504" s="0" t="s">
        <v>1058</v>
      </c>
      <c r="B504" s="0" t="s">
        <v>559</v>
      </c>
      <c r="D504" s="46" t="n">
        <v>46162</v>
      </c>
      <c r="E504" s="47" t="s">
        <v>53</v>
      </c>
      <c r="F504" s="48" t="n">
        <v>43766.3</v>
      </c>
      <c r="G504" s="47" t="s">
        <v>65</v>
      </c>
      <c r="H504" s="47" t="s">
        <v>44</v>
      </c>
      <c r="I504" s="47" t="s">
        <v>80</v>
      </c>
      <c r="J504" s="47" t="s">
        <v>28</v>
      </c>
      <c r="K504" s="47" t="s">
        <v>34</v>
      </c>
    </row>
    <row r="505" customFormat="false" ht="15" hidden="false" customHeight="false" outlineLevel="0" collapsed="false">
      <c r="A505" s="0" t="s">
        <v>1059</v>
      </c>
      <c r="B505" s="0" t="s">
        <v>837</v>
      </c>
      <c r="C505" s="0" t="s">
        <v>1060</v>
      </c>
      <c r="D505" s="46" t="n">
        <v>46203</v>
      </c>
      <c r="E505" s="47" t="s">
        <v>60</v>
      </c>
      <c r="F505" s="48" t="n">
        <v>168182.46</v>
      </c>
      <c r="G505" s="47" t="s">
        <v>68</v>
      </c>
      <c r="H505" s="47" t="s">
        <v>39</v>
      </c>
      <c r="I505" s="47" t="s">
        <v>177</v>
      </c>
      <c r="J505" s="47" t="s">
        <v>28</v>
      </c>
      <c r="K505" s="47" t="s">
        <v>33</v>
      </c>
    </row>
    <row r="506" customFormat="false" ht="15" hidden="false" customHeight="false" outlineLevel="0" collapsed="false">
      <c r="A506" s="0" t="s">
        <v>1061</v>
      </c>
      <c r="B506" s="0" t="s">
        <v>1062</v>
      </c>
      <c r="C506" s="0" t="s">
        <v>1063</v>
      </c>
      <c r="D506" s="46" t="n">
        <v>46128</v>
      </c>
      <c r="E506" s="47" t="s">
        <v>59</v>
      </c>
      <c r="F506" s="48" t="n">
        <v>156044.65</v>
      </c>
      <c r="G506" s="47" t="s">
        <v>57</v>
      </c>
      <c r="H506" s="47" t="s">
        <v>41</v>
      </c>
      <c r="I506" s="47" t="s">
        <v>86</v>
      </c>
      <c r="J506" s="47" t="s">
        <v>29</v>
      </c>
      <c r="K506" s="47" t="s">
        <v>33</v>
      </c>
    </row>
    <row r="507" customFormat="false" ht="15" hidden="false" customHeight="false" outlineLevel="0" collapsed="false">
      <c r="A507" s="0" t="s">
        <v>1064</v>
      </c>
      <c r="B507" s="0" t="s">
        <v>944</v>
      </c>
      <c r="D507" s="46" t="n">
        <v>45966</v>
      </c>
      <c r="E507" s="47" t="s">
        <v>58</v>
      </c>
      <c r="F507" s="48" t="n">
        <v>15244.82</v>
      </c>
      <c r="G507" s="47" t="s">
        <v>68</v>
      </c>
      <c r="H507" s="47" t="s">
        <v>45</v>
      </c>
      <c r="I507" s="47" t="s">
        <v>217</v>
      </c>
      <c r="J507" s="47" t="s">
        <v>28</v>
      </c>
      <c r="K507" s="47" t="s">
        <v>33</v>
      </c>
    </row>
    <row r="508" customFormat="false" ht="15" hidden="false" customHeight="false" outlineLevel="0" collapsed="false">
      <c r="A508" s="0" t="s">
        <v>1065</v>
      </c>
      <c r="B508" s="0" t="s">
        <v>1066</v>
      </c>
      <c r="D508" s="46" t="n">
        <v>46240</v>
      </c>
      <c r="E508" s="47" t="s">
        <v>58</v>
      </c>
      <c r="F508" s="48" t="n">
        <v>84632.17</v>
      </c>
      <c r="G508" s="47" t="s">
        <v>65</v>
      </c>
      <c r="H508" s="47" t="s">
        <v>39</v>
      </c>
      <c r="I508" s="47" t="s">
        <v>98</v>
      </c>
      <c r="J508" s="47" t="s">
        <v>28</v>
      </c>
      <c r="K508" s="47" t="s">
        <v>34</v>
      </c>
    </row>
    <row r="509" customFormat="false" ht="15" hidden="false" customHeight="false" outlineLevel="0" collapsed="false">
      <c r="A509" s="0" t="s">
        <v>1067</v>
      </c>
      <c r="B509" s="0" t="s">
        <v>1068</v>
      </c>
      <c r="D509" s="46" t="n">
        <v>45832</v>
      </c>
      <c r="E509" s="47" t="s">
        <v>62</v>
      </c>
      <c r="F509" s="48" t="n">
        <v>78235.68</v>
      </c>
      <c r="G509" s="47" t="s">
        <v>53</v>
      </c>
      <c r="H509" s="47" t="s">
        <v>41</v>
      </c>
      <c r="I509" s="47" t="s">
        <v>86</v>
      </c>
      <c r="J509" s="47" t="s">
        <v>28</v>
      </c>
      <c r="K509" s="47" t="s">
        <v>34</v>
      </c>
    </row>
    <row r="510" customFormat="false" ht="15" hidden="false" customHeight="false" outlineLevel="0" collapsed="false">
      <c r="A510" s="0" t="s">
        <v>1069</v>
      </c>
      <c r="B510" s="0" t="s">
        <v>1070</v>
      </c>
      <c r="D510" s="46" t="n">
        <v>45934</v>
      </c>
      <c r="E510" s="47" t="s">
        <v>59</v>
      </c>
      <c r="F510" s="48" t="n">
        <v>56470.2</v>
      </c>
      <c r="G510" s="47" t="s">
        <v>68</v>
      </c>
      <c r="H510" s="47" t="s">
        <v>47</v>
      </c>
      <c r="I510" s="47" t="s">
        <v>166</v>
      </c>
      <c r="J510" s="47" t="s">
        <v>28</v>
      </c>
      <c r="K510" s="47" t="s">
        <v>34</v>
      </c>
    </row>
    <row r="511" customFormat="false" ht="15" hidden="false" customHeight="false" outlineLevel="0" collapsed="false">
      <c r="A511" s="0" t="s">
        <v>1071</v>
      </c>
      <c r="B511" s="0" t="s">
        <v>1072</v>
      </c>
      <c r="D511" s="46" t="n">
        <v>45822</v>
      </c>
      <c r="E511" s="47" t="s">
        <v>61</v>
      </c>
      <c r="F511" s="48" t="n">
        <v>165777.93</v>
      </c>
      <c r="G511" s="47" t="s">
        <v>68</v>
      </c>
      <c r="H511" s="47" t="s">
        <v>45</v>
      </c>
      <c r="I511" s="47" t="s">
        <v>217</v>
      </c>
      <c r="J511" s="47" t="s">
        <v>28</v>
      </c>
      <c r="K511" s="47" t="s">
        <v>34</v>
      </c>
    </row>
    <row r="512" customFormat="false" ht="15" hidden="false" customHeight="false" outlineLevel="0" collapsed="false">
      <c r="A512" s="0" t="s">
        <v>1073</v>
      </c>
      <c r="B512" s="0" t="s">
        <v>1074</v>
      </c>
      <c r="D512" s="46" t="n">
        <v>46122</v>
      </c>
      <c r="E512" s="47" t="s">
        <v>55</v>
      </c>
      <c r="F512" s="48" t="n">
        <v>182234.58</v>
      </c>
      <c r="G512" s="47" t="s">
        <v>65</v>
      </c>
      <c r="H512" s="47" t="s">
        <v>41</v>
      </c>
      <c r="I512" s="47" t="s">
        <v>272</v>
      </c>
      <c r="J512" s="47" t="s">
        <v>28</v>
      </c>
      <c r="K512" s="47" t="s">
        <v>33</v>
      </c>
    </row>
    <row r="513" customFormat="false" ht="15" hidden="false" customHeight="false" outlineLevel="0" collapsed="false">
      <c r="A513" s="0" t="s">
        <v>1075</v>
      </c>
      <c r="B513" s="0" t="s">
        <v>631</v>
      </c>
      <c r="D513" s="46" t="n">
        <v>45850</v>
      </c>
      <c r="E513" s="47" t="s">
        <v>58</v>
      </c>
      <c r="F513" s="48" t="n">
        <v>177075.99</v>
      </c>
      <c r="G513" s="47" t="s">
        <v>68</v>
      </c>
      <c r="H513" s="47" t="s">
        <v>43</v>
      </c>
      <c r="I513" s="47" t="s">
        <v>201</v>
      </c>
      <c r="J513" s="47" t="s">
        <v>28</v>
      </c>
      <c r="K513" s="47" t="s">
        <v>34</v>
      </c>
    </row>
    <row r="514" customFormat="false" ht="15" hidden="false" customHeight="false" outlineLevel="0" collapsed="false">
      <c r="A514" s="0" t="s">
        <v>1076</v>
      </c>
      <c r="B514" s="0" t="s">
        <v>1077</v>
      </c>
      <c r="D514" s="46" t="n">
        <v>45821</v>
      </c>
      <c r="E514" s="47" t="s">
        <v>62</v>
      </c>
      <c r="F514" s="48" t="n">
        <v>87404.63</v>
      </c>
      <c r="G514" s="47" t="s">
        <v>57</v>
      </c>
      <c r="H514" s="47" t="s">
        <v>40</v>
      </c>
      <c r="I514" s="47" t="s">
        <v>253</v>
      </c>
      <c r="J514" s="47" t="s">
        <v>28</v>
      </c>
      <c r="K514" s="47" t="s">
        <v>33</v>
      </c>
    </row>
    <row r="515" customFormat="false" ht="15" hidden="false" customHeight="false" outlineLevel="0" collapsed="false">
      <c r="A515" s="0" t="s">
        <v>1078</v>
      </c>
      <c r="B515" s="0" t="s">
        <v>1079</v>
      </c>
      <c r="D515" s="46" t="n">
        <v>46248</v>
      </c>
      <c r="E515" s="47" t="s">
        <v>62</v>
      </c>
      <c r="F515" s="48" t="n">
        <v>150147.74</v>
      </c>
      <c r="G515" s="47" t="s">
        <v>57</v>
      </c>
      <c r="H515" s="47" t="s">
        <v>45</v>
      </c>
      <c r="I515" s="47" t="s">
        <v>151</v>
      </c>
      <c r="J515" s="47" t="s">
        <v>28</v>
      </c>
      <c r="K515" s="47" t="s">
        <v>34</v>
      </c>
    </row>
    <row r="516" customFormat="false" ht="15" hidden="false" customHeight="false" outlineLevel="0" collapsed="false">
      <c r="A516" s="0" t="s">
        <v>1080</v>
      </c>
      <c r="B516" s="0" t="s">
        <v>1081</v>
      </c>
      <c r="D516" s="46" t="n">
        <v>46016</v>
      </c>
      <c r="E516" s="47" t="s">
        <v>62</v>
      </c>
      <c r="F516" s="48" t="n">
        <v>115282.23</v>
      </c>
      <c r="G516" s="47" t="s">
        <v>57</v>
      </c>
      <c r="H516" s="47" t="s">
        <v>47</v>
      </c>
      <c r="I516" s="47" t="s">
        <v>245</v>
      </c>
      <c r="J516" s="47" t="s">
        <v>28</v>
      </c>
      <c r="K516" s="47" t="s">
        <v>34</v>
      </c>
    </row>
    <row r="517" customFormat="false" ht="15" hidden="false" customHeight="false" outlineLevel="0" collapsed="false">
      <c r="A517" s="0" t="s">
        <v>1082</v>
      </c>
      <c r="B517" s="0" t="s">
        <v>1083</v>
      </c>
      <c r="D517" s="46" t="n">
        <v>46089</v>
      </c>
      <c r="E517" s="47" t="s">
        <v>55</v>
      </c>
      <c r="F517" s="48" t="n">
        <v>143821.68</v>
      </c>
      <c r="G517" s="47" t="s">
        <v>53</v>
      </c>
      <c r="H517" s="47" t="s">
        <v>46</v>
      </c>
      <c r="I517" s="47" t="s">
        <v>148</v>
      </c>
      <c r="J517" s="47" t="s">
        <v>28</v>
      </c>
      <c r="K517" s="47" t="s">
        <v>33</v>
      </c>
    </row>
    <row r="518" customFormat="false" ht="15" hidden="false" customHeight="false" outlineLevel="0" collapsed="false">
      <c r="A518" s="0" t="s">
        <v>1084</v>
      </c>
      <c r="B518" s="0" t="s">
        <v>1085</v>
      </c>
      <c r="D518" s="46" t="n">
        <v>45876</v>
      </c>
      <c r="E518" s="47" t="s">
        <v>53</v>
      </c>
      <c r="F518" s="48" t="n">
        <v>125639.02</v>
      </c>
      <c r="G518" s="47" t="s">
        <v>57</v>
      </c>
      <c r="H518" s="47" t="s">
        <v>46</v>
      </c>
      <c r="I518" s="47" t="s">
        <v>148</v>
      </c>
      <c r="J518" s="47" t="s">
        <v>29</v>
      </c>
      <c r="K518" s="47" t="s">
        <v>33</v>
      </c>
    </row>
    <row r="519" customFormat="false" ht="15" hidden="false" customHeight="false" outlineLevel="0" collapsed="false">
      <c r="A519" s="0" t="s">
        <v>1086</v>
      </c>
      <c r="B519" s="0" t="s">
        <v>868</v>
      </c>
      <c r="C519" s="0" t="s">
        <v>1087</v>
      </c>
      <c r="D519" s="46" t="n">
        <v>45825</v>
      </c>
      <c r="E519" s="47" t="s">
        <v>55</v>
      </c>
      <c r="F519" s="48" t="n">
        <v>54426.73</v>
      </c>
      <c r="G519" s="47" t="s">
        <v>68</v>
      </c>
      <c r="H519" s="47" t="s">
        <v>46</v>
      </c>
      <c r="I519" s="47" t="s">
        <v>121</v>
      </c>
      <c r="J519" s="47" t="s">
        <v>28</v>
      </c>
      <c r="K519" s="47" t="s">
        <v>33</v>
      </c>
    </row>
    <row r="520" customFormat="false" ht="15" hidden="false" customHeight="false" outlineLevel="0" collapsed="false">
      <c r="A520" s="0" t="s">
        <v>1088</v>
      </c>
      <c r="B520" s="0" t="s">
        <v>413</v>
      </c>
      <c r="D520" s="46" t="n">
        <v>46152</v>
      </c>
      <c r="E520" s="47" t="s">
        <v>59</v>
      </c>
      <c r="F520" s="48" t="n">
        <v>91991.92</v>
      </c>
      <c r="G520" s="47" t="s">
        <v>68</v>
      </c>
      <c r="H520" s="47" t="s">
        <v>47</v>
      </c>
      <c r="I520" s="47" t="s">
        <v>166</v>
      </c>
      <c r="J520" s="47" t="s">
        <v>28</v>
      </c>
      <c r="K520" s="47" t="s">
        <v>33</v>
      </c>
    </row>
    <row r="521" customFormat="false" ht="15" hidden="false" customHeight="false" outlineLevel="0" collapsed="false">
      <c r="A521" s="0" t="s">
        <v>1089</v>
      </c>
      <c r="B521" s="0" t="s">
        <v>459</v>
      </c>
      <c r="D521" s="46" t="n">
        <v>45789</v>
      </c>
      <c r="E521" s="47" t="s">
        <v>53</v>
      </c>
      <c r="F521" s="48" t="n">
        <v>51343.63</v>
      </c>
      <c r="G521" s="47" t="s">
        <v>68</v>
      </c>
      <c r="H521" s="47" t="s">
        <v>45</v>
      </c>
      <c r="I521" s="47" t="s">
        <v>217</v>
      </c>
      <c r="J521" s="47" t="s">
        <v>29</v>
      </c>
      <c r="K521" s="47" t="s">
        <v>33</v>
      </c>
    </row>
    <row r="522" customFormat="false" ht="15" hidden="false" customHeight="false" outlineLevel="0" collapsed="false">
      <c r="A522" s="0" t="s">
        <v>1090</v>
      </c>
      <c r="B522" s="0" t="s">
        <v>1091</v>
      </c>
      <c r="D522" s="46" t="n">
        <v>46152</v>
      </c>
      <c r="E522" s="47" t="s">
        <v>62</v>
      </c>
      <c r="F522" s="48" t="n">
        <v>119869.95</v>
      </c>
      <c r="G522" s="47" t="s">
        <v>68</v>
      </c>
      <c r="H522" s="47" t="s">
        <v>43</v>
      </c>
      <c r="I522" s="47" t="s">
        <v>102</v>
      </c>
      <c r="J522" s="47" t="s">
        <v>28</v>
      </c>
      <c r="K522" s="47" t="s">
        <v>33</v>
      </c>
    </row>
    <row r="523" customFormat="false" ht="15" hidden="false" customHeight="false" outlineLevel="0" collapsed="false">
      <c r="A523" s="0" t="s">
        <v>1092</v>
      </c>
      <c r="B523" s="0" t="s">
        <v>1093</v>
      </c>
      <c r="D523" s="46" t="n">
        <v>45755</v>
      </c>
      <c r="E523" s="47" t="s">
        <v>61</v>
      </c>
      <c r="F523" s="48" t="n">
        <v>184839.11</v>
      </c>
      <c r="G523" s="47" t="s">
        <v>66</v>
      </c>
      <c r="H523" s="47" t="s">
        <v>39</v>
      </c>
      <c r="I523" s="47" t="s">
        <v>177</v>
      </c>
      <c r="J523" s="47" t="s">
        <v>28</v>
      </c>
      <c r="K523" s="47" t="s">
        <v>33</v>
      </c>
    </row>
    <row r="524" customFormat="false" ht="15" hidden="false" customHeight="false" outlineLevel="0" collapsed="false">
      <c r="A524" s="0" t="s">
        <v>1094</v>
      </c>
      <c r="B524" s="0" t="s">
        <v>267</v>
      </c>
      <c r="D524" s="46" t="n">
        <v>45921</v>
      </c>
      <c r="E524" s="47" t="s">
        <v>58</v>
      </c>
      <c r="F524" s="48" t="n">
        <v>131585.96</v>
      </c>
      <c r="G524" s="47" t="s">
        <v>68</v>
      </c>
      <c r="H524" s="47" t="s">
        <v>46</v>
      </c>
      <c r="I524" s="47" t="s">
        <v>242</v>
      </c>
      <c r="J524" s="47" t="s">
        <v>28</v>
      </c>
      <c r="K524" s="47" t="s">
        <v>33</v>
      </c>
    </row>
    <row r="525" customFormat="false" ht="15" hidden="false" customHeight="false" outlineLevel="0" collapsed="false">
      <c r="A525" s="0" t="s">
        <v>1095</v>
      </c>
      <c r="B525" s="0" t="s">
        <v>158</v>
      </c>
      <c r="D525" s="46" t="n">
        <v>45890</v>
      </c>
      <c r="E525" s="47" t="s">
        <v>62</v>
      </c>
      <c r="F525" s="48" t="n">
        <v>62161.55</v>
      </c>
      <c r="G525" s="47" t="s">
        <v>66</v>
      </c>
      <c r="H525" s="47" t="s">
        <v>46</v>
      </c>
      <c r="I525" s="47" t="s">
        <v>148</v>
      </c>
      <c r="J525" s="47" t="s">
        <v>28</v>
      </c>
      <c r="K525" s="47" t="s">
        <v>34</v>
      </c>
    </row>
    <row r="526" customFormat="false" ht="15" hidden="false" customHeight="false" outlineLevel="0" collapsed="false">
      <c r="A526" s="0" t="s">
        <v>1096</v>
      </c>
      <c r="B526" s="0" t="s">
        <v>1097</v>
      </c>
      <c r="D526" s="46" t="n">
        <v>45681</v>
      </c>
      <c r="E526" s="47" t="s">
        <v>55</v>
      </c>
      <c r="F526" s="48" t="n">
        <v>7281.53</v>
      </c>
      <c r="G526" s="47" t="s">
        <v>68</v>
      </c>
      <c r="H526" s="47" t="s">
        <v>47</v>
      </c>
      <c r="I526" s="47" t="s">
        <v>108</v>
      </c>
      <c r="J526" s="47" t="s">
        <v>28</v>
      </c>
      <c r="K526" s="47" t="s">
        <v>33</v>
      </c>
    </row>
    <row r="527" customFormat="false" ht="15" hidden="false" customHeight="false" outlineLevel="0" collapsed="false">
      <c r="A527" s="0" t="s">
        <v>1098</v>
      </c>
      <c r="B527" s="0" t="s">
        <v>1099</v>
      </c>
      <c r="D527" s="46" t="n">
        <v>46037</v>
      </c>
      <c r="E527" s="47" t="s">
        <v>53</v>
      </c>
      <c r="F527" s="48" t="n">
        <v>49207.72</v>
      </c>
      <c r="G527" s="47" t="s">
        <v>53</v>
      </c>
      <c r="H527" s="47" t="s">
        <v>43</v>
      </c>
      <c r="I527" s="47" t="s">
        <v>201</v>
      </c>
      <c r="J527" s="47" t="s">
        <v>28</v>
      </c>
      <c r="K527" s="47" t="s">
        <v>34</v>
      </c>
    </row>
    <row r="528" customFormat="false" ht="15" hidden="false" customHeight="false" outlineLevel="0" collapsed="false">
      <c r="A528" s="0" t="s">
        <v>1100</v>
      </c>
      <c r="B528" s="0" t="s">
        <v>301</v>
      </c>
      <c r="D528" s="46" t="n">
        <v>45941</v>
      </c>
      <c r="E528" s="47" t="s">
        <v>58</v>
      </c>
      <c r="F528" s="48" t="n">
        <v>126430.09</v>
      </c>
      <c r="G528" s="47" t="s">
        <v>65</v>
      </c>
      <c r="H528" s="47" t="s">
        <v>39</v>
      </c>
      <c r="I528" s="47" t="s">
        <v>177</v>
      </c>
      <c r="J528" s="47" t="s">
        <v>28</v>
      </c>
      <c r="K528" s="47" t="s">
        <v>34</v>
      </c>
    </row>
    <row r="529" customFormat="false" ht="15" hidden="false" customHeight="false" outlineLevel="0" collapsed="false">
      <c r="A529" s="0" t="s">
        <v>1101</v>
      </c>
      <c r="B529" s="0" t="s">
        <v>1102</v>
      </c>
      <c r="D529" s="46" t="n">
        <v>46137</v>
      </c>
      <c r="E529" s="47" t="s">
        <v>58</v>
      </c>
      <c r="F529" s="48" t="n">
        <v>174937.05</v>
      </c>
      <c r="G529" s="47" t="s">
        <v>66</v>
      </c>
      <c r="H529" s="47" t="s">
        <v>42</v>
      </c>
      <c r="I529" s="47" t="s">
        <v>105</v>
      </c>
      <c r="J529" s="47" t="s">
        <v>28</v>
      </c>
      <c r="K529" s="47" t="s">
        <v>33</v>
      </c>
    </row>
    <row r="530" customFormat="false" ht="15" hidden="false" customHeight="false" outlineLevel="0" collapsed="false">
      <c r="A530" s="0" t="s">
        <v>1103</v>
      </c>
      <c r="B530" s="0" t="s">
        <v>1104</v>
      </c>
      <c r="D530" s="46" t="n">
        <v>46200</v>
      </c>
      <c r="E530" s="47" t="s">
        <v>62</v>
      </c>
      <c r="F530" s="48" t="n">
        <v>55445.31</v>
      </c>
      <c r="G530" s="47" t="s">
        <v>66</v>
      </c>
      <c r="H530" s="47" t="s">
        <v>39</v>
      </c>
      <c r="I530" s="47" t="s">
        <v>98</v>
      </c>
      <c r="J530" s="47" t="s">
        <v>28</v>
      </c>
      <c r="K530" s="47" t="s">
        <v>33</v>
      </c>
    </row>
    <row r="531" customFormat="false" ht="15" hidden="false" customHeight="false" outlineLevel="0" collapsed="false">
      <c r="A531" s="0" t="s">
        <v>1105</v>
      </c>
      <c r="B531" s="0" t="s">
        <v>1106</v>
      </c>
      <c r="D531" s="46" t="n">
        <v>45758</v>
      </c>
      <c r="E531" s="47" t="s">
        <v>58</v>
      </c>
      <c r="F531" s="48" t="n">
        <v>5200.66</v>
      </c>
      <c r="G531" s="47" t="s">
        <v>57</v>
      </c>
      <c r="H531" s="47" t="s">
        <v>43</v>
      </c>
      <c r="I531" s="47" t="s">
        <v>117</v>
      </c>
      <c r="J531" s="47" t="s">
        <v>28</v>
      </c>
      <c r="K531" s="47" t="s">
        <v>34</v>
      </c>
    </row>
    <row r="532" customFormat="false" ht="15" hidden="false" customHeight="false" outlineLevel="0" collapsed="false">
      <c r="A532" s="0" t="s">
        <v>1107</v>
      </c>
      <c r="B532" s="0" t="s">
        <v>1108</v>
      </c>
      <c r="D532" s="46" t="n">
        <v>45716</v>
      </c>
      <c r="E532" s="47" t="s">
        <v>61</v>
      </c>
      <c r="F532" s="48" t="n">
        <v>95816.07</v>
      </c>
      <c r="G532" s="47" t="s">
        <v>66</v>
      </c>
      <c r="H532" s="47" t="s">
        <v>44</v>
      </c>
      <c r="I532" s="47" t="s">
        <v>132</v>
      </c>
      <c r="J532" s="47" t="s">
        <v>29</v>
      </c>
      <c r="K532" s="47" t="s">
        <v>33</v>
      </c>
    </row>
    <row r="533" customFormat="false" ht="15" hidden="false" customHeight="false" outlineLevel="0" collapsed="false">
      <c r="A533" s="0" t="s">
        <v>1109</v>
      </c>
      <c r="B533" s="0" t="s">
        <v>547</v>
      </c>
      <c r="D533" s="46" t="n">
        <v>46040</v>
      </c>
      <c r="E533" s="47" t="s">
        <v>53</v>
      </c>
      <c r="F533" s="48" t="n">
        <v>112930.35</v>
      </c>
      <c r="G533" s="47" t="s">
        <v>68</v>
      </c>
      <c r="H533" s="47" t="s">
        <v>47</v>
      </c>
      <c r="I533" s="47" t="s">
        <v>245</v>
      </c>
      <c r="J533" s="47" t="s">
        <v>28</v>
      </c>
      <c r="K533" s="47" t="s">
        <v>33</v>
      </c>
    </row>
    <row r="534" customFormat="false" ht="15" hidden="false" customHeight="false" outlineLevel="0" collapsed="false">
      <c r="A534" s="0" t="s">
        <v>1110</v>
      </c>
      <c r="B534" s="0" t="s">
        <v>348</v>
      </c>
      <c r="D534" s="46" t="n">
        <v>45877</v>
      </c>
      <c r="E534" s="47" t="s">
        <v>53</v>
      </c>
      <c r="F534" s="48" t="n">
        <v>99674.46</v>
      </c>
      <c r="G534" s="47" t="s">
        <v>57</v>
      </c>
      <c r="H534" s="47" t="s">
        <v>46</v>
      </c>
      <c r="I534" s="47" t="s">
        <v>148</v>
      </c>
      <c r="J534" s="47" t="s">
        <v>28</v>
      </c>
      <c r="K534" s="47" t="s">
        <v>34</v>
      </c>
    </row>
    <row r="535" customFormat="false" ht="15" hidden="false" customHeight="false" outlineLevel="0" collapsed="false">
      <c r="A535" s="0" t="s">
        <v>1111</v>
      </c>
      <c r="B535" s="0" t="s">
        <v>1112</v>
      </c>
      <c r="D535" s="46" t="n">
        <v>46177</v>
      </c>
      <c r="E535" s="47" t="s">
        <v>60</v>
      </c>
      <c r="F535" s="48" t="n">
        <v>168549.35</v>
      </c>
      <c r="G535" s="47" t="s">
        <v>57</v>
      </c>
      <c r="H535" s="47" t="s">
        <v>39</v>
      </c>
      <c r="I535" s="47" t="s">
        <v>177</v>
      </c>
      <c r="J535" s="47" t="s">
        <v>28</v>
      </c>
      <c r="K535" s="47" t="s">
        <v>33</v>
      </c>
    </row>
    <row r="536" customFormat="false" ht="15" hidden="false" customHeight="false" outlineLevel="0" collapsed="false">
      <c r="A536" s="0" t="s">
        <v>1113</v>
      </c>
      <c r="B536" s="0" t="s">
        <v>606</v>
      </c>
      <c r="C536" s="0" t="s">
        <v>1114</v>
      </c>
      <c r="D536" s="46" t="n">
        <v>46054</v>
      </c>
      <c r="E536" s="47" t="s">
        <v>58</v>
      </c>
      <c r="F536" s="48" t="n">
        <v>31832.12</v>
      </c>
      <c r="G536" s="47" t="s">
        <v>57</v>
      </c>
      <c r="H536" s="47" t="s">
        <v>45</v>
      </c>
      <c r="I536" s="47" t="s">
        <v>95</v>
      </c>
      <c r="J536" s="47" t="s">
        <v>28</v>
      </c>
      <c r="K536" s="47" t="s">
        <v>33</v>
      </c>
    </row>
    <row r="537" customFormat="false" ht="15" hidden="false" customHeight="false" outlineLevel="0" collapsed="false">
      <c r="A537" s="0" t="s">
        <v>1115</v>
      </c>
      <c r="B537" s="0" t="s">
        <v>1116</v>
      </c>
      <c r="C537" s="0" t="s">
        <v>1117</v>
      </c>
      <c r="D537" s="46" t="n">
        <v>45809</v>
      </c>
      <c r="E537" s="47" t="s">
        <v>58</v>
      </c>
      <c r="F537" s="48" t="n">
        <v>17240.09</v>
      </c>
      <c r="G537" s="47" t="s">
        <v>66</v>
      </c>
      <c r="H537" s="47" t="s">
        <v>39</v>
      </c>
      <c r="I537" s="47" t="s">
        <v>177</v>
      </c>
      <c r="J537" s="47" t="s">
        <v>28</v>
      </c>
      <c r="K537" s="47" t="s">
        <v>34</v>
      </c>
    </row>
    <row r="538" customFormat="false" ht="15" hidden="false" customHeight="false" outlineLevel="0" collapsed="false">
      <c r="A538" s="0" t="s">
        <v>1118</v>
      </c>
      <c r="B538" s="0" t="s">
        <v>346</v>
      </c>
      <c r="D538" s="46" t="n">
        <v>45921</v>
      </c>
      <c r="E538" s="47" t="s">
        <v>55</v>
      </c>
      <c r="F538" s="48" t="n">
        <v>117708.44</v>
      </c>
      <c r="G538" s="47" t="s">
        <v>66</v>
      </c>
      <c r="H538" s="47" t="s">
        <v>41</v>
      </c>
      <c r="I538" s="47" t="s">
        <v>86</v>
      </c>
      <c r="J538" s="47" t="s">
        <v>28</v>
      </c>
      <c r="K538" s="47" t="s">
        <v>33</v>
      </c>
    </row>
    <row r="539" customFormat="false" ht="15" hidden="false" customHeight="false" outlineLevel="0" collapsed="false">
      <c r="A539" s="0" t="s">
        <v>1119</v>
      </c>
      <c r="B539" s="0" t="s">
        <v>674</v>
      </c>
      <c r="C539" s="0" t="s">
        <v>675</v>
      </c>
      <c r="D539" s="46" t="n">
        <v>46088</v>
      </c>
      <c r="E539" s="47" t="s">
        <v>61</v>
      </c>
      <c r="F539" s="48" t="n">
        <v>177750.57</v>
      </c>
      <c r="G539" s="47" t="s">
        <v>53</v>
      </c>
      <c r="H539" s="47" t="s">
        <v>42</v>
      </c>
      <c r="I539" s="47" t="s">
        <v>105</v>
      </c>
      <c r="J539" s="47" t="s">
        <v>28</v>
      </c>
      <c r="K539" s="47" t="s">
        <v>34</v>
      </c>
    </row>
    <row r="540" customFormat="false" ht="15" hidden="false" customHeight="false" outlineLevel="0" collapsed="false">
      <c r="A540" s="0" t="s">
        <v>1120</v>
      </c>
      <c r="B540" s="0" t="s">
        <v>964</v>
      </c>
      <c r="D540" s="46" t="n">
        <v>45928</v>
      </c>
      <c r="E540" s="47" t="s">
        <v>53</v>
      </c>
      <c r="F540" s="48" t="n">
        <v>84359.41</v>
      </c>
      <c r="G540" s="47" t="s">
        <v>68</v>
      </c>
      <c r="H540" s="47" t="s">
        <v>45</v>
      </c>
      <c r="I540" s="47" t="s">
        <v>95</v>
      </c>
      <c r="J540" s="47" t="s">
        <v>28</v>
      </c>
      <c r="K540" s="47" t="s">
        <v>34</v>
      </c>
    </row>
    <row r="541" customFormat="false" ht="15" hidden="false" customHeight="false" outlineLevel="0" collapsed="false">
      <c r="A541" s="0" t="s">
        <v>1121</v>
      </c>
      <c r="B541" s="0" t="s">
        <v>1122</v>
      </c>
      <c r="D541" s="46" t="n">
        <v>45686</v>
      </c>
      <c r="E541" s="47" t="s">
        <v>60</v>
      </c>
      <c r="F541" s="48" t="n">
        <v>154143.25</v>
      </c>
      <c r="G541" s="47" t="s">
        <v>57</v>
      </c>
      <c r="H541" s="47" t="s">
        <v>48</v>
      </c>
      <c r="I541" s="47" t="s">
        <v>212</v>
      </c>
      <c r="J541" s="47" t="s">
        <v>28</v>
      </c>
      <c r="K541" s="47" t="s">
        <v>33</v>
      </c>
    </row>
    <row r="542" customFormat="false" ht="15" hidden="false" customHeight="false" outlineLevel="0" collapsed="false">
      <c r="A542" s="0" t="s">
        <v>1123</v>
      </c>
      <c r="B542" s="0" t="s">
        <v>1124</v>
      </c>
      <c r="D542" s="46" t="n">
        <v>46137</v>
      </c>
      <c r="E542" s="47" t="s">
        <v>53</v>
      </c>
      <c r="F542" s="48" t="n">
        <v>111654.26</v>
      </c>
      <c r="G542" s="47" t="s">
        <v>68</v>
      </c>
      <c r="H542" s="47" t="s">
        <v>47</v>
      </c>
      <c r="I542" s="47" t="s">
        <v>108</v>
      </c>
      <c r="J542" s="47" t="s">
        <v>28</v>
      </c>
      <c r="K542" s="47" t="s">
        <v>34</v>
      </c>
    </row>
    <row r="543" customFormat="false" ht="15" hidden="false" customHeight="false" outlineLevel="0" collapsed="false">
      <c r="A543" s="0" t="s">
        <v>1125</v>
      </c>
      <c r="B543" s="0" t="s">
        <v>388</v>
      </c>
      <c r="D543" s="46" t="n">
        <v>46075</v>
      </c>
      <c r="E543" s="47" t="s">
        <v>53</v>
      </c>
      <c r="F543" s="48" t="n">
        <v>113467.5</v>
      </c>
      <c r="G543" s="47" t="s">
        <v>53</v>
      </c>
      <c r="H543" s="47" t="s">
        <v>41</v>
      </c>
      <c r="I543" s="47" t="s">
        <v>272</v>
      </c>
      <c r="J543" s="47" t="s">
        <v>28</v>
      </c>
      <c r="K543" s="47" t="s">
        <v>34</v>
      </c>
    </row>
    <row r="544" customFormat="false" ht="15" hidden="false" customHeight="false" outlineLevel="0" collapsed="false">
      <c r="A544" s="0" t="s">
        <v>1126</v>
      </c>
      <c r="B544" s="0" t="s">
        <v>174</v>
      </c>
      <c r="D544" s="46" t="n">
        <v>46001</v>
      </c>
      <c r="E544" s="47" t="s">
        <v>53</v>
      </c>
      <c r="F544" s="48" t="n">
        <v>7815.1</v>
      </c>
      <c r="G544" s="47" t="s">
        <v>53</v>
      </c>
      <c r="H544" s="47" t="s">
        <v>46</v>
      </c>
      <c r="I544" s="47" t="s">
        <v>148</v>
      </c>
      <c r="J544" s="47" t="s">
        <v>29</v>
      </c>
      <c r="K544" s="47" t="s">
        <v>33</v>
      </c>
    </row>
    <row r="545" customFormat="false" ht="15" hidden="false" customHeight="false" outlineLevel="0" collapsed="false">
      <c r="A545" s="0" t="s">
        <v>1127</v>
      </c>
      <c r="B545" s="0" t="s">
        <v>168</v>
      </c>
      <c r="D545" s="46" t="n">
        <v>46107</v>
      </c>
      <c r="E545" s="47" t="s">
        <v>55</v>
      </c>
      <c r="F545" s="48" t="n">
        <v>64027.07</v>
      </c>
      <c r="G545" s="47" t="s">
        <v>66</v>
      </c>
      <c r="H545" s="47" t="s">
        <v>43</v>
      </c>
      <c r="I545" s="47" t="s">
        <v>117</v>
      </c>
      <c r="J545" s="47" t="s">
        <v>28</v>
      </c>
      <c r="K545" s="47" t="s">
        <v>33</v>
      </c>
    </row>
    <row r="546" customFormat="false" ht="15" hidden="false" customHeight="false" outlineLevel="0" collapsed="false">
      <c r="A546" s="0" t="s">
        <v>1128</v>
      </c>
      <c r="B546" s="0" t="s">
        <v>1129</v>
      </c>
      <c r="C546" s="0" t="s">
        <v>1130</v>
      </c>
      <c r="D546" s="46" t="n">
        <v>46120</v>
      </c>
      <c r="E546" s="47" t="s">
        <v>55</v>
      </c>
      <c r="F546" s="48" t="n">
        <v>12720.77</v>
      </c>
      <c r="G546" s="47" t="s">
        <v>57</v>
      </c>
      <c r="H546" s="47" t="s">
        <v>45</v>
      </c>
      <c r="I546" s="47" t="s">
        <v>217</v>
      </c>
      <c r="J546" s="47" t="s">
        <v>28</v>
      </c>
      <c r="K546" s="47" t="s">
        <v>33</v>
      </c>
    </row>
    <row r="547" customFormat="false" ht="15" hidden="false" customHeight="false" outlineLevel="0" collapsed="false">
      <c r="A547" s="0" t="s">
        <v>1131</v>
      </c>
      <c r="B547" s="0" t="s">
        <v>1132</v>
      </c>
      <c r="D547" s="46" t="n">
        <v>45886</v>
      </c>
      <c r="E547" s="47" t="s">
        <v>62</v>
      </c>
      <c r="F547" s="48" t="n">
        <v>166534.76</v>
      </c>
      <c r="G547" s="47" t="s">
        <v>65</v>
      </c>
      <c r="H547" s="47" t="s">
        <v>41</v>
      </c>
      <c r="I547" s="47" t="s">
        <v>293</v>
      </c>
      <c r="J547" s="47" t="s">
        <v>28</v>
      </c>
      <c r="K547" s="47" t="s">
        <v>34</v>
      </c>
    </row>
    <row r="548" customFormat="false" ht="15" hidden="false" customHeight="false" outlineLevel="0" collapsed="false">
      <c r="A548" s="0" t="s">
        <v>1133</v>
      </c>
      <c r="B548" s="0" t="s">
        <v>1134</v>
      </c>
      <c r="D548" s="46" t="n">
        <v>45742</v>
      </c>
      <c r="E548" s="47" t="s">
        <v>55</v>
      </c>
      <c r="F548" s="48" t="n">
        <v>156128.73</v>
      </c>
      <c r="G548" s="47" t="s">
        <v>57</v>
      </c>
      <c r="H548" s="47" t="s">
        <v>48</v>
      </c>
      <c r="I548" s="47" t="s">
        <v>114</v>
      </c>
      <c r="J548" s="47" t="s">
        <v>28</v>
      </c>
      <c r="K548" s="47" t="s">
        <v>33</v>
      </c>
    </row>
    <row r="549" customFormat="false" ht="15" hidden="false" customHeight="false" outlineLevel="0" collapsed="false">
      <c r="A549" s="0" t="s">
        <v>1135</v>
      </c>
      <c r="B549" s="0" t="s">
        <v>239</v>
      </c>
      <c r="D549" s="46" t="n">
        <v>45942</v>
      </c>
      <c r="E549" s="47" t="s">
        <v>61</v>
      </c>
      <c r="F549" s="48" t="n">
        <v>109531.02</v>
      </c>
      <c r="G549" s="47" t="s">
        <v>57</v>
      </c>
      <c r="H549" s="47" t="s">
        <v>44</v>
      </c>
      <c r="I549" s="47" t="s">
        <v>226</v>
      </c>
      <c r="J549" s="47" t="s">
        <v>28</v>
      </c>
      <c r="K549" s="47" t="s">
        <v>33</v>
      </c>
    </row>
    <row r="550" customFormat="false" ht="15" hidden="false" customHeight="false" outlineLevel="0" collapsed="false">
      <c r="A550" s="0" t="s">
        <v>1136</v>
      </c>
      <c r="B550" s="0" t="s">
        <v>1137</v>
      </c>
      <c r="D550" s="46" t="n">
        <v>45930</v>
      </c>
      <c r="E550" s="47" t="s">
        <v>61</v>
      </c>
      <c r="F550" s="48" t="n">
        <v>14710.96</v>
      </c>
      <c r="G550" s="47" t="s">
        <v>66</v>
      </c>
      <c r="H550" s="47" t="s">
        <v>48</v>
      </c>
      <c r="I550" s="47" t="s">
        <v>111</v>
      </c>
      <c r="J550" s="47" t="s">
        <v>28</v>
      </c>
      <c r="K550" s="47" t="s">
        <v>34</v>
      </c>
    </row>
    <row r="551" customFormat="false" ht="15" hidden="false" customHeight="false" outlineLevel="0" collapsed="false">
      <c r="A551" s="0" t="s">
        <v>1138</v>
      </c>
      <c r="B551" s="0" t="s">
        <v>1139</v>
      </c>
      <c r="D551" s="46" t="n">
        <v>45957</v>
      </c>
      <c r="E551" s="47" t="s">
        <v>55</v>
      </c>
      <c r="F551" s="48" t="n">
        <v>113414.37</v>
      </c>
      <c r="G551" s="47" t="s">
        <v>65</v>
      </c>
      <c r="H551" s="47" t="s">
        <v>40</v>
      </c>
      <c r="I551" s="47" t="s">
        <v>89</v>
      </c>
      <c r="J551" s="47" t="s">
        <v>28</v>
      </c>
      <c r="K551" s="47" t="s">
        <v>34</v>
      </c>
    </row>
    <row r="552" customFormat="false" ht="15" hidden="false" customHeight="false" outlineLevel="0" collapsed="false">
      <c r="A552" s="0" t="s">
        <v>1140</v>
      </c>
      <c r="B552" s="0" t="s">
        <v>534</v>
      </c>
      <c r="D552" s="46" t="n">
        <v>46025</v>
      </c>
      <c r="E552" s="47" t="s">
        <v>62</v>
      </c>
      <c r="F552" s="48" t="n">
        <v>157731.62</v>
      </c>
      <c r="G552" s="47" t="s">
        <v>66</v>
      </c>
      <c r="H552" s="47" t="s">
        <v>42</v>
      </c>
      <c r="I552" s="47" t="s">
        <v>105</v>
      </c>
      <c r="J552" s="47" t="s">
        <v>28</v>
      </c>
      <c r="K552" s="47" t="s">
        <v>33</v>
      </c>
    </row>
    <row r="553" customFormat="false" ht="15" hidden="false" customHeight="false" outlineLevel="0" collapsed="false">
      <c r="A553" s="0" t="s">
        <v>1141</v>
      </c>
      <c r="B553" s="0" t="s">
        <v>191</v>
      </c>
      <c r="D553" s="46" t="n">
        <v>45832</v>
      </c>
      <c r="E553" s="47" t="s">
        <v>60</v>
      </c>
      <c r="F553" s="48" t="n">
        <v>155548.86</v>
      </c>
      <c r="G553" s="47" t="s">
        <v>53</v>
      </c>
      <c r="H553" s="47" t="s">
        <v>40</v>
      </c>
      <c r="I553" s="47" t="s">
        <v>83</v>
      </c>
      <c r="J553" s="47" t="s">
        <v>28</v>
      </c>
      <c r="K553" s="47" t="s">
        <v>33</v>
      </c>
    </row>
    <row r="554" customFormat="false" ht="15" hidden="false" customHeight="false" outlineLevel="0" collapsed="false">
      <c r="A554" s="0" t="s">
        <v>1142</v>
      </c>
      <c r="B554" s="0" t="s">
        <v>1143</v>
      </c>
      <c r="D554" s="46" t="n">
        <v>45933</v>
      </c>
      <c r="E554" s="47" t="s">
        <v>62</v>
      </c>
      <c r="F554" s="48" t="n">
        <v>150332.19</v>
      </c>
      <c r="G554" s="47" t="s">
        <v>66</v>
      </c>
      <c r="H554" s="47" t="s">
        <v>47</v>
      </c>
      <c r="I554" s="47" t="s">
        <v>245</v>
      </c>
      <c r="J554" s="47" t="s">
        <v>30</v>
      </c>
      <c r="K554" s="47" t="s">
        <v>34</v>
      </c>
    </row>
    <row r="555" customFormat="false" ht="15" hidden="false" customHeight="false" outlineLevel="0" collapsed="false">
      <c r="A555" s="0" t="s">
        <v>1144</v>
      </c>
      <c r="B555" s="0" t="s">
        <v>826</v>
      </c>
      <c r="D555" s="46" t="n">
        <v>46147</v>
      </c>
      <c r="E555" s="47" t="s">
        <v>53</v>
      </c>
      <c r="F555" s="48" t="n">
        <v>98806.83</v>
      </c>
      <c r="G555" s="47" t="s">
        <v>57</v>
      </c>
      <c r="H555" s="47" t="s">
        <v>42</v>
      </c>
      <c r="I555" s="47" t="s">
        <v>105</v>
      </c>
      <c r="J555" s="47" t="s">
        <v>29</v>
      </c>
      <c r="K555" s="47" t="s">
        <v>33</v>
      </c>
    </row>
    <row r="556" customFormat="false" ht="15" hidden="false" customHeight="false" outlineLevel="0" collapsed="false">
      <c r="A556" s="0" t="s">
        <v>1145</v>
      </c>
      <c r="B556" s="0" t="s">
        <v>1146</v>
      </c>
      <c r="D556" s="46" t="n">
        <v>45804</v>
      </c>
      <c r="E556" s="47" t="s">
        <v>58</v>
      </c>
      <c r="F556" s="48" t="n">
        <v>143282.26</v>
      </c>
      <c r="G556" s="47" t="s">
        <v>65</v>
      </c>
      <c r="H556" s="47" t="s">
        <v>47</v>
      </c>
      <c r="I556" s="47" t="s">
        <v>166</v>
      </c>
      <c r="J556" s="47" t="s">
        <v>28</v>
      </c>
      <c r="K556" s="47" t="s">
        <v>33</v>
      </c>
    </row>
    <row r="557" customFormat="false" ht="15" hidden="false" customHeight="false" outlineLevel="0" collapsed="false">
      <c r="A557" s="0" t="s">
        <v>1147</v>
      </c>
      <c r="B557" s="0" t="s">
        <v>1148</v>
      </c>
      <c r="C557" s="0" t="s">
        <v>1149</v>
      </c>
      <c r="D557" s="46" t="n">
        <v>46295</v>
      </c>
      <c r="E557" s="47" t="s">
        <v>61</v>
      </c>
      <c r="F557" s="48" t="n">
        <v>26819.5</v>
      </c>
      <c r="G557" s="47" t="s">
        <v>68</v>
      </c>
      <c r="H557" s="47" t="s">
        <v>40</v>
      </c>
      <c r="I557" s="47" t="s">
        <v>253</v>
      </c>
      <c r="J557" s="47" t="s">
        <v>30</v>
      </c>
      <c r="K557" s="47" t="s">
        <v>33</v>
      </c>
    </row>
    <row r="558" customFormat="false" ht="15" hidden="false" customHeight="false" outlineLevel="0" collapsed="false">
      <c r="A558" s="0" t="s">
        <v>1150</v>
      </c>
      <c r="B558" s="0" t="s">
        <v>337</v>
      </c>
      <c r="D558" s="46" t="n">
        <v>45947</v>
      </c>
      <c r="E558" s="47" t="s">
        <v>59</v>
      </c>
      <c r="F558" s="48" t="n">
        <v>103134.49</v>
      </c>
      <c r="G558" s="47" t="s">
        <v>68</v>
      </c>
      <c r="H558" s="47" t="s">
        <v>39</v>
      </c>
      <c r="I558" s="47" t="s">
        <v>145</v>
      </c>
      <c r="J558" s="47" t="s">
        <v>28</v>
      </c>
      <c r="K558" s="47" t="s">
        <v>34</v>
      </c>
    </row>
    <row r="559" customFormat="false" ht="15" hidden="false" customHeight="false" outlineLevel="0" collapsed="false">
      <c r="A559" s="0" t="s">
        <v>1151</v>
      </c>
      <c r="B559" s="0" t="s">
        <v>125</v>
      </c>
      <c r="D559" s="46" t="n">
        <v>45928</v>
      </c>
      <c r="E559" s="47" t="s">
        <v>55</v>
      </c>
      <c r="F559" s="48" t="n">
        <v>188449.85</v>
      </c>
      <c r="G559" s="47" t="s">
        <v>66</v>
      </c>
      <c r="H559" s="47" t="s">
        <v>46</v>
      </c>
      <c r="I559" s="47" t="s">
        <v>121</v>
      </c>
      <c r="J559" s="47" t="s">
        <v>29</v>
      </c>
      <c r="K559" s="47" t="s">
        <v>33</v>
      </c>
    </row>
    <row r="560" customFormat="false" ht="15" hidden="false" customHeight="false" outlineLevel="0" collapsed="false">
      <c r="A560" s="0" t="s">
        <v>1152</v>
      </c>
      <c r="B560" s="0" t="s">
        <v>623</v>
      </c>
      <c r="D560" s="46" t="n">
        <v>45706</v>
      </c>
      <c r="E560" s="47" t="s">
        <v>58</v>
      </c>
      <c r="F560" s="48" t="n">
        <v>193560.03</v>
      </c>
      <c r="G560" s="47" t="s">
        <v>68</v>
      </c>
      <c r="H560" s="47" t="s">
        <v>40</v>
      </c>
      <c r="I560" s="47" t="s">
        <v>89</v>
      </c>
      <c r="J560" s="47" t="s">
        <v>28</v>
      </c>
      <c r="K560" s="47" t="s">
        <v>33</v>
      </c>
    </row>
    <row r="561" customFormat="false" ht="15" hidden="false" customHeight="false" outlineLevel="0" collapsed="false">
      <c r="A561" s="0" t="s">
        <v>1153</v>
      </c>
      <c r="B561" s="0" t="s">
        <v>1081</v>
      </c>
      <c r="D561" s="46" t="n">
        <v>46046</v>
      </c>
      <c r="E561" s="47" t="s">
        <v>59</v>
      </c>
      <c r="F561" s="48" t="n">
        <v>141367.55</v>
      </c>
      <c r="G561" s="47" t="s">
        <v>53</v>
      </c>
      <c r="H561" s="47" t="s">
        <v>47</v>
      </c>
      <c r="I561" s="47" t="s">
        <v>245</v>
      </c>
      <c r="J561" s="47" t="s">
        <v>28</v>
      </c>
      <c r="K561" s="47" t="s">
        <v>33</v>
      </c>
    </row>
    <row r="562" customFormat="false" ht="15" hidden="false" customHeight="false" outlineLevel="0" collapsed="false">
      <c r="A562" s="0" t="s">
        <v>1154</v>
      </c>
      <c r="B562" s="0" t="s">
        <v>1155</v>
      </c>
      <c r="D562" s="46" t="n">
        <v>45870</v>
      </c>
      <c r="E562" s="47" t="s">
        <v>59</v>
      </c>
      <c r="F562" s="48" t="n">
        <v>74840.56</v>
      </c>
      <c r="G562" s="47" t="s">
        <v>68</v>
      </c>
      <c r="H562" s="47" t="s">
        <v>44</v>
      </c>
      <c r="I562" s="47" t="s">
        <v>132</v>
      </c>
      <c r="J562" s="47" t="s">
        <v>30</v>
      </c>
      <c r="K562" s="47" t="s">
        <v>33</v>
      </c>
    </row>
    <row r="563" customFormat="false" ht="15" hidden="false" customHeight="false" outlineLevel="0" collapsed="false">
      <c r="A563" s="0" t="s">
        <v>1156</v>
      </c>
      <c r="B563" s="0" t="s">
        <v>1129</v>
      </c>
      <c r="C563" s="0" t="s">
        <v>1130</v>
      </c>
      <c r="D563" s="46" t="n">
        <v>45772</v>
      </c>
      <c r="E563" s="47" t="s">
        <v>62</v>
      </c>
      <c r="F563" s="48" t="n">
        <v>128810.55</v>
      </c>
      <c r="G563" s="47" t="s">
        <v>68</v>
      </c>
      <c r="H563" s="47" t="s">
        <v>45</v>
      </c>
      <c r="I563" s="47" t="s">
        <v>217</v>
      </c>
      <c r="J563" s="47" t="s">
        <v>28</v>
      </c>
      <c r="K563" s="47" t="s">
        <v>33</v>
      </c>
    </row>
    <row r="564" customFormat="false" ht="15" hidden="false" customHeight="false" outlineLevel="0" collapsed="false">
      <c r="A564" s="0" t="s">
        <v>1157</v>
      </c>
      <c r="B564" s="0" t="s">
        <v>851</v>
      </c>
      <c r="D564" s="46" t="n">
        <v>46271</v>
      </c>
      <c r="E564" s="47" t="s">
        <v>58</v>
      </c>
      <c r="F564" s="48" t="n">
        <v>182284.34</v>
      </c>
      <c r="G564" s="47" t="s">
        <v>68</v>
      </c>
      <c r="H564" s="47" t="s">
        <v>46</v>
      </c>
      <c r="I564" s="47" t="s">
        <v>148</v>
      </c>
      <c r="J564" s="47" t="s">
        <v>28</v>
      </c>
      <c r="K564" s="47" t="s">
        <v>34</v>
      </c>
    </row>
    <row r="565" customFormat="false" ht="15" hidden="false" customHeight="false" outlineLevel="0" collapsed="false">
      <c r="A565" s="0" t="s">
        <v>1158</v>
      </c>
      <c r="B565" s="0" t="s">
        <v>1159</v>
      </c>
      <c r="D565" s="46" t="n">
        <v>45834</v>
      </c>
      <c r="E565" s="47" t="s">
        <v>58</v>
      </c>
      <c r="F565" s="48" t="n">
        <v>154027.7</v>
      </c>
      <c r="G565" s="47" t="s">
        <v>57</v>
      </c>
      <c r="H565" s="47" t="s">
        <v>43</v>
      </c>
      <c r="I565" s="47" t="s">
        <v>201</v>
      </c>
      <c r="J565" s="47" t="s">
        <v>28</v>
      </c>
      <c r="K565" s="47" t="s">
        <v>33</v>
      </c>
    </row>
    <row r="566" customFormat="false" ht="15" hidden="false" customHeight="false" outlineLevel="0" collapsed="false">
      <c r="A566" s="0" t="s">
        <v>1160</v>
      </c>
      <c r="B566" s="0" t="s">
        <v>390</v>
      </c>
      <c r="D566" s="46" t="n">
        <v>46287</v>
      </c>
      <c r="E566" s="47" t="s">
        <v>60</v>
      </c>
      <c r="F566" s="48" t="n">
        <v>64970.69</v>
      </c>
      <c r="G566" s="47" t="s">
        <v>65</v>
      </c>
      <c r="H566" s="47" t="s">
        <v>44</v>
      </c>
      <c r="I566" s="47" t="s">
        <v>132</v>
      </c>
      <c r="J566" s="47" t="s">
        <v>28</v>
      </c>
      <c r="K566" s="47" t="s">
        <v>33</v>
      </c>
    </row>
    <row r="567" customFormat="false" ht="15" hidden="false" customHeight="false" outlineLevel="0" collapsed="false">
      <c r="A567" s="0" t="s">
        <v>1161</v>
      </c>
      <c r="B567" s="0" t="s">
        <v>747</v>
      </c>
      <c r="D567" s="46" t="n">
        <v>46001</v>
      </c>
      <c r="E567" s="47" t="s">
        <v>61</v>
      </c>
      <c r="F567" s="48" t="n">
        <v>49697.39</v>
      </c>
      <c r="G567" s="47" t="s">
        <v>65</v>
      </c>
      <c r="H567" s="47" t="s">
        <v>48</v>
      </c>
      <c r="I567" s="47" t="s">
        <v>114</v>
      </c>
      <c r="J567" s="47" t="s">
        <v>28</v>
      </c>
      <c r="K567" s="47" t="s">
        <v>34</v>
      </c>
    </row>
    <row r="568" customFormat="false" ht="15" hidden="false" customHeight="false" outlineLevel="0" collapsed="false">
      <c r="A568" s="0" t="s">
        <v>1162</v>
      </c>
      <c r="B568" s="0" t="s">
        <v>267</v>
      </c>
      <c r="D568" s="46" t="n">
        <v>45676</v>
      </c>
      <c r="E568" s="47" t="s">
        <v>58</v>
      </c>
      <c r="F568" s="48" t="n">
        <v>133323.9</v>
      </c>
      <c r="G568" s="47" t="s">
        <v>66</v>
      </c>
      <c r="H568" s="47" t="s">
        <v>46</v>
      </c>
      <c r="I568" s="47" t="s">
        <v>242</v>
      </c>
      <c r="J568" s="47" t="s">
        <v>28</v>
      </c>
      <c r="K568" s="47" t="s">
        <v>33</v>
      </c>
    </row>
    <row r="569" customFormat="false" ht="15" hidden="false" customHeight="false" outlineLevel="0" collapsed="false">
      <c r="A569" s="0" t="s">
        <v>1163</v>
      </c>
      <c r="B569" s="0" t="s">
        <v>740</v>
      </c>
      <c r="D569" s="46" t="n">
        <v>45810</v>
      </c>
      <c r="E569" s="47" t="s">
        <v>62</v>
      </c>
      <c r="F569" s="48" t="n">
        <v>70460.3</v>
      </c>
      <c r="G569" s="47" t="s">
        <v>68</v>
      </c>
      <c r="H569" s="47" t="s">
        <v>44</v>
      </c>
      <c r="I569" s="47" t="s">
        <v>132</v>
      </c>
      <c r="J569" s="47" t="s">
        <v>28</v>
      </c>
      <c r="K569" s="47" t="s">
        <v>33</v>
      </c>
    </row>
    <row r="570" customFormat="false" ht="15" hidden="false" customHeight="false" outlineLevel="0" collapsed="false">
      <c r="A570" s="0" t="s">
        <v>1164</v>
      </c>
      <c r="B570" s="0" t="s">
        <v>1165</v>
      </c>
      <c r="C570" s="0" t="s">
        <v>1166</v>
      </c>
      <c r="D570" s="46" t="n">
        <v>45777</v>
      </c>
      <c r="E570" s="47" t="s">
        <v>60</v>
      </c>
      <c r="F570" s="48" t="n">
        <v>183982.89</v>
      </c>
      <c r="G570" s="47" t="s">
        <v>57</v>
      </c>
      <c r="H570" s="47" t="s">
        <v>41</v>
      </c>
      <c r="I570" s="47" t="s">
        <v>272</v>
      </c>
      <c r="J570" s="47" t="s">
        <v>30</v>
      </c>
      <c r="K570" s="47" t="s">
        <v>34</v>
      </c>
    </row>
    <row r="571" customFormat="false" ht="15" hidden="false" customHeight="false" outlineLevel="0" collapsed="false">
      <c r="A571" s="0" t="s">
        <v>1167</v>
      </c>
      <c r="B571" s="0" t="s">
        <v>1168</v>
      </c>
      <c r="D571" s="46" t="n">
        <v>46275</v>
      </c>
      <c r="E571" s="47" t="s">
        <v>62</v>
      </c>
      <c r="F571" s="48" t="n">
        <v>50694.43</v>
      </c>
      <c r="G571" s="47" t="s">
        <v>68</v>
      </c>
      <c r="H571" s="47" t="s">
        <v>46</v>
      </c>
      <c r="I571" s="47" t="s">
        <v>242</v>
      </c>
      <c r="J571" s="47" t="s">
        <v>29</v>
      </c>
      <c r="K571" s="47" t="s">
        <v>34</v>
      </c>
    </row>
    <row r="572" customFormat="false" ht="15" hidden="false" customHeight="false" outlineLevel="0" collapsed="false">
      <c r="A572" s="0" t="s">
        <v>1169</v>
      </c>
      <c r="B572" s="0" t="s">
        <v>611</v>
      </c>
      <c r="D572" s="46" t="n">
        <v>46093</v>
      </c>
      <c r="E572" s="47" t="s">
        <v>61</v>
      </c>
      <c r="F572" s="48" t="n">
        <v>32849.25</v>
      </c>
      <c r="G572" s="47" t="s">
        <v>66</v>
      </c>
      <c r="H572" s="47" t="s">
        <v>48</v>
      </c>
      <c r="I572" s="47" t="s">
        <v>111</v>
      </c>
      <c r="J572" s="47" t="s">
        <v>28</v>
      </c>
      <c r="K572" s="47" t="s">
        <v>33</v>
      </c>
    </row>
    <row r="573" customFormat="false" ht="15" hidden="false" customHeight="false" outlineLevel="0" collapsed="false">
      <c r="A573" s="0" t="s">
        <v>1170</v>
      </c>
      <c r="B573" s="0" t="s">
        <v>233</v>
      </c>
      <c r="D573" s="46" t="n">
        <v>45864</v>
      </c>
      <c r="E573" s="47" t="s">
        <v>53</v>
      </c>
      <c r="F573" s="48" t="n">
        <v>103623.58</v>
      </c>
      <c r="G573" s="47" t="s">
        <v>53</v>
      </c>
      <c r="H573" s="47" t="s">
        <v>43</v>
      </c>
      <c r="I573" s="47" t="s">
        <v>102</v>
      </c>
      <c r="J573" s="47" t="s">
        <v>28</v>
      </c>
      <c r="K573" s="47" t="s">
        <v>34</v>
      </c>
    </row>
    <row r="574" customFormat="false" ht="15" hidden="false" customHeight="false" outlineLevel="0" collapsed="false">
      <c r="A574" s="0" t="s">
        <v>1171</v>
      </c>
      <c r="B574" s="0" t="s">
        <v>1159</v>
      </c>
      <c r="D574" s="46" t="n">
        <v>46040</v>
      </c>
      <c r="E574" s="47" t="s">
        <v>59</v>
      </c>
      <c r="F574" s="48" t="n">
        <v>44155.16</v>
      </c>
      <c r="G574" s="47" t="s">
        <v>57</v>
      </c>
      <c r="H574" s="47" t="s">
        <v>43</v>
      </c>
      <c r="I574" s="47" t="s">
        <v>201</v>
      </c>
      <c r="J574" s="47" t="s">
        <v>28</v>
      </c>
      <c r="K574" s="47" t="s">
        <v>34</v>
      </c>
    </row>
    <row r="575" customFormat="false" ht="15" hidden="false" customHeight="false" outlineLevel="0" collapsed="false">
      <c r="A575" s="0" t="s">
        <v>1172</v>
      </c>
      <c r="B575" s="0" t="s">
        <v>94</v>
      </c>
      <c r="D575" s="46" t="n">
        <v>45691</v>
      </c>
      <c r="E575" s="47" t="s">
        <v>62</v>
      </c>
      <c r="F575" s="48" t="n">
        <v>125772.2</v>
      </c>
      <c r="G575" s="47" t="s">
        <v>66</v>
      </c>
      <c r="H575" s="47" t="s">
        <v>45</v>
      </c>
      <c r="I575" s="47" t="s">
        <v>95</v>
      </c>
      <c r="J575" s="47" t="s">
        <v>28</v>
      </c>
      <c r="K575" s="47" t="s">
        <v>34</v>
      </c>
    </row>
    <row r="576" customFormat="false" ht="15" hidden="false" customHeight="false" outlineLevel="0" collapsed="false">
      <c r="A576" s="0" t="s">
        <v>1173</v>
      </c>
      <c r="B576" s="0" t="s">
        <v>1174</v>
      </c>
      <c r="C576" s="0" t="s">
        <v>1175</v>
      </c>
      <c r="D576" s="46" t="n">
        <v>45695</v>
      </c>
      <c r="E576" s="47" t="s">
        <v>62</v>
      </c>
      <c r="F576" s="48" t="n">
        <v>176647.18</v>
      </c>
      <c r="G576" s="47" t="s">
        <v>68</v>
      </c>
      <c r="H576" s="47" t="s">
        <v>45</v>
      </c>
      <c r="I576" s="47" t="s">
        <v>95</v>
      </c>
      <c r="J576" s="47" t="s">
        <v>28</v>
      </c>
      <c r="K576" s="47" t="s">
        <v>34</v>
      </c>
    </row>
    <row r="577" customFormat="false" ht="15" hidden="false" customHeight="false" outlineLevel="0" collapsed="false">
      <c r="A577" s="0" t="s">
        <v>1176</v>
      </c>
      <c r="B577" s="0" t="s">
        <v>188</v>
      </c>
      <c r="D577" s="46" t="n">
        <v>45822</v>
      </c>
      <c r="E577" s="47" t="s">
        <v>61</v>
      </c>
      <c r="F577" s="48" t="n">
        <v>153933.57</v>
      </c>
      <c r="G577" s="47" t="s">
        <v>57</v>
      </c>
      <c r="H577" s="47" t="s">
        <v>43</v>
      </c>
      <c r="I577" s="47" t="s">
        <v>117</v>
      </c>
      <c r="J577" s="47" t="s">
        <v>28</v>
      </c>
      <c r="K577" s="47" t="s">
        <v>33</v>
      </c>
    </row>
    <row r="578" customFormat="false" ht="15" hidden="false" customHeight="false" outlineLevel="0" collapsed="false">
      <c r="A578" s="0" t="s">
        <v>1177</v>
      </c>
      <c r="B578" s="0" t="s">
        <v>1178</v>
      </c>
      <c r="D578" s="46" t="n">
        <v>45902</v>
      </c>
      <c r="E578" s="47" t="s">
        <v>61</v>
      </c>
      <c r="F578" s="48" t="n">
        <v>134548.71</v>
      </c>
      <c r="G578" s="47" t="s">
        <v>66</v>
      </c>
      <c r="H578" s="47" t="s">
        <v>39</v>
      </c>
      <c r="I578" s="47" t="s">
        <v>98</v>
      </c>
      <c r="J578" s="47" t="s">
        <v>28</v>
      </c>
      <c r="K578" s="47" t="s">
        <v>34</v>
      </c>
    </row>
    <row r="579" customFormat="false" ht="15" hidden="false" customHeight="false" outlineLevel="0" collapsed="false">
      <c r="A579" s="0" t="s">
        <v>1179</v>
      </c>
      <c r="B579" s="0" t="s">
        <v>1180</v>
      </c>
      <c r="D579" s="46" t="n">
        <v>45978</v>
      </c>
      <c r="E579" s="47" t="s">
        <v>53</v>
      </c>
      <c r="F579" s="48" t="n">
        <v>118063.46</v>
      </c>
      <c r="G579" s="47" t="s">
        <v>68</v>
      </c>
      <c r="H579" s="47" t="s">
        <v>44</v>
      </c>
      <c r="I579" s="47" t="s">
        <v>226</v>
      </c>
      <c r="J579" s="47" t="s">
        <v>28</v>
      </c>
      <c r="K579" s="47" t="s">
        <v>33</v>
      </c>
    </row>
    <row r="580" customFormat="false" ht="15" hidden="false" customHeight="false" outlineLevel="0" collapsed="false">
      <c r="A580" s="0" t="s">
        <v>1181</v>
      </c>
      <c r="B580" s="0" t="s">
        <v>113</v>
      </c>
      <c r="C580" s="0" t="s">
        <v>1182</v>
      </c>
      <c r="D580" s="46" t="n">
        <v>45752</v>
      </c>
      <c r="E580" s="47" t="s">
        <v>58</v>
      </c>
      <c r="F580" s="48" t="n">
        <v>170936.02</v>
      </c>
      <c r="G580" s="47" t="s">
        <v>53</v>
      </c>
      <c r="H580" s="47" t="s">
        <v>48</v>
      </c>
      <c r="I580" s="47" t="s">
        <v>114</v>
      </c>
      <c r="J580" s="47" t="s">
        <v>28</v>
      </c>
      <c r="K580" s="47" t="s">
        <v>33</v>
      </c>
    </row>
    <row r="581" customFormat="false" ht="15" hidden="false" customHeight="false" outlineLevel="0" collapsed="false">
      <c r="A581" s="0" t="s">
        <v>1183</v>
      </c>
      <c r="B581" s="0" t="s">
        <v>473</v>
      </c>
      <c r="D581" s="46" t="n">
        <v>46111</v>
      </c>
      <c r="E581" s="47" t="s">
        <v>62</v>
      </c>
      <c r="F581" s="48" t="n">
        <v>93965.14</v>
      </c>
      <c r="G581" s="47" t="s">
        <v>68</v>
      </c>
      <c r="H581" s="47" t="s">
        <v>41</v>
      </c>
      <c r="I581" s="47" t="s">
        <v>272</v>
      </c>
      <c r="J581" s="47" t="s">
        <v>28</v>
      </c>
      <c r="K581" s="47" t="s">
        <v>33</v>
      </c>
    </row>
    <row r="582" customFormat="false" ht="15" hidden="false" customHeight="false" outlineLevel="0" collapsed="false">
      <c r="A582" s="0" t="s">
        <v>1184</v>
      </c>
      <c r="B582" s="0" t="s">
        <v>511</v>
      </c>
      <c r="C582" s="0" t="s">
        <v>1185</v>
      </c>
      <c r="D582" s="46" t="n">
        <v>45906</v>
      </c>
      <c r="E582" s="47" t="s">
        <v>61</v>
      </c>
      <c r="F582" s="48" t="n">
        <v>107170.72</v>
      </c>
      <c r="G582" s="47" t="s">
        <v>66</v>
      </c>
      <c r="H582" s="47" t="s">
        <v>40</v>
      </c>
      <c r="I582" s="47" t="s">
        <v>89</v>
      </c>
      <c r="J582" s="47" t="s">
        <v>28</v>
      </c>
      <c r="K582" s="47" t="s">
        <v>33</v>
      </c>
    </row>
    <row r="583" customFormat="false" ht="15" hidden="false" customHeight="false" outlineLevel="0" collapsed="false">
      <c r="A583" s="0" t="s">
        <v>1186</v>
      </c>
      <c r="B583" s="0" t="s">
        <v>1187</v>
      </c>
      <c r="D583" s="46" t="n">
        <v>45931</v>
      </c>
      <c r="E583" s="47" t="s">
        <v>59</v>
      </c>
      <c r="F583" s="48" t="n">
        <v>186525.42</v>
      </c>
      <c r="G583" s="47" t="s">
        <v>66</v>
      </c>
      <c r="H583" s="47" t="s">
        <v>40</v>
      </c>
      <c r="I583" s="47" t="s">
        <v>253</v>
      </c>
      <c r="J583" s="47" t="s">
        <v>28</v>
      </c>
      <c r="K583" s="47" t="s">
        <v>33</v>
      </c>
    </row>
    <row r="584" customFormat="false" ht="15" hidden="false" customHeight="false" outlineLevel="0" collapsed="false">
      <c r="A584" s="0" t="s">
        <v>1188</v>
      </c>
      <c r="B584" s="0" t="s">
        <v>491</v>
      </c>
      <c r="D584" s="46" t="n">
        <v>45905</v>
      </c>
      <c r="E584" s="47" t="s">
        <v>59</v>
      </c>
      <c r="F584" s="48" t="n">
        <v>60887.61</v>
      </c>
      <c r="G584" s="47" t="s">
        <v>66</v>
      </c>
      <c r="H584" s="47" t="s">
        <v>47</v>
      </c>
      <c r="I584" s="47" t="s">
        <v>108</v>
      </c>
      <c r="J584" s="47" t="s">
        <v>28</v>
      </c>
      <c r="K584" s="47" t="s">
        <v>34</v>
      </c>
    </row>
    <row r="585" customFormat="false" ht="15" hidden="false" customHeight="false" outlineLevel="0" collapsed="false">
      <c r="A585" s="0" t="s">
        <v>1189</v>
      </c>
      <c r="B585" s="0" t="s">
        <v>1190</v>
      </c>
      <c r="D585" s="46" t="n">
        <v>45849</v>
      </c>
      <c r="E585" s="47" t="s">
        <v>62</v>
      </c>
      <c r="F585" s="48" t="n">
        <v>75809.43</v>
      </c>
      <c r="G585" s="47" t="s">
        <v>57</v>
      </c>
      <c r="H585" s="47" t="s">
        <v>45</v>
      </c>
      <c r="I585" s="47" t="s">
        <v>95</v>
      </c>
      <c r="J585" s="47" t="s">
        <v>28</v>
      </c>
      <c r="K585" s="47" t="s">
        <v>34</v>
      </c>
    </row>
    <row r="586" customFormat="false" ht="15" hidden="false" customHeight="false" outlineLevel="0" collapsed="false">
      <c r="A586" s="0" t="s">
        <v>1191</v>
      </c>
      <c r="B586" s="0" t="s">
        <v>209</v>
      </c>
      <c r="D586" s="46" t="n">
        <v>45950</v>
      </c>
      <c r="E586" s="47" t="s">
        <v>60</v>
      </c>
      <c r="F586" s="48" t="n">
        <v>72734.03</v>
      </c>
      <c r="G586" s="47" t="s">
        <v>57</v>
      </c>
      <c r="H586" s="47" t="s">
        <v>40</v>
      </c>
      <c r="I586" s="47" t="s">
        <v>89</v>
      </c>
      <c r="J586" s="47" t="s">
        <v>28</v>
      </c>
      <c r="K586" s="47" t="s">
        <v>34</v>
      </c>
    </row>
    <row r="587" customFormat="false" ht="15" hidden="false" customHeight="false" outlineLevel="0" collapsed="false">
      <c r="A587" s="0" t="s">
        <v>1192</v>
      </c>
      <c r="B587" s="0" t="s">
        <v>1193</v>
      </c>
      <c r="C587" s="0" t="s">
        <v>1194</v>
      </c>
      <c r="D587" s="46" t="n">
        <v>46235</v>
      </c>
      <c r="E587" s="47" t="s">
        <v>60</v>
      </c>
      <c r="F587" s="48" t="n">
        <v>87288.32</v>
      </c>
      <c r="G587" s="47" t="s">
        <v>65</v>
      </c>
      <c r="H587" s="47" t="s">
        <v>45</v>
      </c>
      <c r="I587" s="47" t="s">
        <v>95</v>
      </c>
      <c r="J587" s="47" t="s">
        <v>28</v>
      </c>
      <c r="K587" s="47" t="s">
        <v>33</v>
      </c>
    </row>
    <row r="588" customFormat="false" ht="15" hidden="false" customHeight="false" outlineLevel="0" collapsed="false">
      <c r="A588" s="0" t="s">
        <v>1195</v>
      </c>
      <c r="B588" s="0" t="s">
        <v>1093</v>
      </c>
      <c r="D588" s="46" t="n">
        <v>45874</v>
      </c>
      <c r="E588" s="47" t="s">
        <v>60</v>
      </c>
      <c r="F588" s="48" t="n">
        <v>186923.39</v>
      </c>
      <c r="G588" s="47" t="s">
        <v>68</v>
      </c>
      <c r="H588" s="47" t="s">
        <v>39</v>
      </c>
      <c r="I588" s="47" t="s">
        <v>177</v>
      </c>
      <c r="J588" s="47" t="s">
        <v>28</v>
      </c>
      <c r="K588" s="47" t="s">
        <v>34</v>
      </c>
    </row>
    <row r="589" customFormat="false" ht="15" hidden="false" customHeight="false" outlineLevel="0" collapsed="false">
      <c r="A589" s="0" t="s">
        <v>1196</v>
      </c>
      <c r="B589" s="0" t="s">
        <v>1197</v>
      </c>
      <c r="D589" s="46" t="n">
        <v>46257</v>
      </c>
      <c r="E589" s="47" t="s">
        <v>58</v>
      </c>
      <c r="F589" s="48" t="n">
        <v>160599.94</v>
      </c>
      <c r="G589" s="47" t="s">
        <v>66</v>
      </c>
      <c r="H589" s="47" t="s">
        <v>41</v>
      </c>
      <c r="I589" s="47" t="s">
        <v>272</v>
      </c>
      <c r="J589" s="47" t="s">
        <v>28</v>
      </c>
      <c r="K589" s="47" t="s">
        <v>33</v>
      </c>
    </row>
    <row r="590" customFormat="false" ht="15" hidden="false" customHeight="false" outlineLevel="0" collapsed="false">
      <c r="A590" s="0" t="s">
        <v>1198</v>
      </c>
      <c r="B590" s="0" t="s">
        <v>342</v>
      </c>
      <c r="D590" s="46" t="n">
        <v>45926</v>
      </c>
      <c r="E590" s="47" t="s">
        <v>55</v>
      </c>
      <c r="F590" s="48" t="n">
        <v>19764.62</v>
      </c>
      <c r="G590" s="47" t="s">
        <v>68</v>
      </c>
      <c r="H590" s="47" t="s">
        <v>46</v>
      </c>
      <c r="I590" s="47" t="s">
        <v>148</v>
      </c>
      <c r="J590" s="47" t="s">
        <v>28</v>
      </c>
      <c r="K590" s="47" t="s">
        <v>33</v>
      </c>
    </row>
    <row r="591" customFormat="false" ht="15" hidden="false" customHeight="false" outlineLevel="0" collapsed="false">
      <c r="A591" s="0" t="s">
        <v>1199</v>
      </c>
      <c r="B591" s="0" t="s">
        <v>392</v>
      </c>
      <c r="D591" s="46" t="n">
        <v>46052</v>
      </c>
      <c r="E591" s="47" t="s">
        <v>61</v>
      </c>
      <c r="F591" s="48" t="n">
        <v>85772.39</v>
      </c>
      <c r="G591" s="47" t="s">
        <v>53</v>
      </c>
      <c r="H591" s="47" t="s">
        <v>41</v>
      </c>
      <c r="I591" s="47" t="s">
        <v>86</v>
      </c>
      <c r="J591" s="47" t="s">
        <v>28</v>
      </c>
      <c r="K591" s="47" t="s">
        <v>34</v>
      </c>
    </row>
    <row r="592" customFormat="false" ht="15" hidden="false" customHeight="false" outlineLevel="0" collapsed="false">
      <c r="A592" s="0" t="s">
        <v>1200</v>
      </c>
      <c r="B592" s="0" t="s">
        <v>1201</v>
      </c>
      <c r="D592" s="46" t="n">
        <v>45687</v>
      </c>
      <c r="E592" s="47" t="s">
        <v>61</v>
      </c>
      <c r="F592" s="48" t="n">
        <v>4813.7</v>
      </c>
      <c r="G592" s="47" t="s">
        <v>68</v>
      </c>
      <c r="H592" s="47" t="s">
        <v>42</v>
      </c>
      <c r="I592" s="47" t="s">
        <v>137</v>
      </c>
      <c r="J592" s="47" t="s">
        <v>28</v>
      </c>
      <c r="K592" s="47" t="s">
        <v>34</v>
      </c>
    </row>
    <row r="593" customFormat="false" ht="15" hidden="false" customHeight="false" outlineLevel="0" collapsed="false">
      <c r="A593" s="0" t="s">
        <v>1202</v>
      </c>
      <c r="B593" s="0" t="s">
        <v>1070</v>
      </c>
      <c r="C593" s="0" t="s">
        <v>1203</v>
      </c>
      <c r="D593" s="46" t="n">
        <v>45732</v>
      </c>
      <c r="E593" s="47" t="s">
        <v>59</v>
      </c>
      <c r="F593" s="48" t="n">
        <v>45912</v>
      </c>
      <c r="G593" s="47" t="s">
        <v>68</v>
      </c>
      <c r="H593" s="47" t="s">
        <v>47</v>
      </c>
      <c r="I593" s="47" t="s">
        <v>166</v>
      </c>
      <c r="J593" s="47" t="s">
        <v>28</v>
      </c>
      <c r="K593" s="47" t="s">
        <v>33</v>
      </c>
    </row>
    <row r="594" customFormat="false" ht="15" hidden="false" customHeight="false" outlineLevel="0" collapsed="false">
      <c r="A594" s="0" t="s">
        <v>1204</v>
      </c>
      <c r="B594" s="0" t="s">
        <v>461</v>
      </c>
      <c r="D594" s="46" t="n">
        <v>45761</v>
      </c>
      <c r="E594" s="47" t="s">
        <v>62</v>
      </c>
      <c r="F594" s="48" t="n">
        <v>54262.79</v>
      </c>
      <c r="G594" s="47" t="s">
        <v>68</v>
      </c>
      <c r="H594" s="47" t="s">
        <v>48</v>
      </c>
      <c r="I594" s="47" t="s">
        <v>111</v>
      </c>
      <c r="J594" s="47" t="s">
        <v>28</v>
      </c>
      <c r="K594" s="47" t="s">
        <v>34</v>
      </c>
    </row>
    <row r="595" customFormat="false" ht="15" hidden="false" customHeight="false" outlineLevel="0" collapsed="false">
      <c r="A595" s="0" t="s">
        <v>1205</v>
      </c>
      <c r="B595" s="0" t="s">
        <v>366</v>
      </c>
      <c r="D595" s="46" t="n">
        <v>45857</v>
      </c>
      <c r="E595" s="47" t="s">
        <v>60</v>
      </c>
      <c r="F595" s="48" t="n">
        <v>71364.23</v>
      </c>
      <c r="G595" s="47" t="s">
        <v>53</v>
      </c>
      <c r="H595" s="47" t="s">
        <v>48</v>
      </c>
      <c r="I595" s="47" t="s">
        <v>114</v>
      </c>
      <c r="J595" s="47" t="s">
        <v>28</v>
      </c>
      <c r="K595" s="47" t="s">
        <v>34</v>
      </c>
    </row>
    <row r="596" customFormat="false" ht="15" hidden="false" customHeight="false" outlineLevel="0" collapsed="false">
      <c r="A596" s="0" t="s">
        <v>1206</v>
      </c>
      <c r="B596" s="0" t="s">
        <v>1207</v>
      </c>
      <c r="D596" s="46" t="n">
        <v>46228</v>
      </c>
      <c r="E596" s="47" t="s">
        <v>60</v>
      </c>
      <c r="F596" s="48" t="n">
        <v>127150.27</v>
      </c>
      <c r="G596" s="47" t="s">
        <v>53</v>
      </c>
      <c r="H596" s="47" t="s">
        <v>45</v>
      </c>
      <c r="I596" s="47" t="s">
        <v>151</v>
      </c>
      <c r="J596" s="47" t="s">
        <v>28</v>
      </c>
      <c r="K596" s="47" t="s">
        <v>33</v>
      </c>
    </row>
    <row r="597" customFormat="false" ht="15" hidden="false" customHeight="false" outlineLevel="0" collapsed="false">
      <c r="A597" s="0" t="s">
        <v>1208</v>
      </c>
      <c r="B597" s="0" t="s">
        <v>1209</v>
      </c>
      <c r="D597" s="46" t="n">
        <v>45703</v>
      </c>
      <c r="E597" s="47" t="s">
        <v>53</v>
      </c>
      <c r="F597" s="48" t="n">
        <v>195970.17</v>
      </c>
      <c r="G597" s="47" t="s">
        <v>68</v>
      </c>
      <c r="H597" s="47" t="s">
        <v>42</v>
      </c>
      <c r="I597" s="47" t="s">
        <v>105</v>
      </c>
      <c r="J597" s="47" t="s">
        <v>28</v>
      </c>
      <c r="K597" s="47" t="s">
        <v>33</v>
      </c>
    </row>
    <row r="598" customFormat="false" ht="15" hidden="false" customHeight="false" outlineLevel="0" collapsed="false">
      <c r="A598" s="0" t="s">
        <v>1210</v>
      </c>
      <c r="B598" s="0" t="s">
        <v>1211</v>
      </c>
      <c r="D598" s="46" t="n">
        <v>45714</v>
      </c>
      <c r="E598" s="47" t="s">
        <v>62</v>
      </c>
      <c r="F598" s="48" t="n">
        <v>108625.09</v>
      </c>
      <c r="G598" s="47" t="s">
        <v>68</v>
      </c>
      <c r="H598" s="47" t="s">
        <v>40</v>
      </c>
      <c r="I598" s="47" t="s">
        <v>89</v>
      </c>
      <c r="J598" s="47" t="s">
        <v>28</v>
      </c>
      <c r="K598" s="47" t="s">
        <v>33</v>
      </c>
    </row>
    <row r="599" customFormat="false" ht="15" hidden="false" customHeight="false" outlineLevel="0" collapsed="false">
      <c r="A599" s="0" t="s">
        <v>1212</v>
      </c>
      <c r="B599" s="0" t="s">
        <v>1213</v>
      </c>
      <c r="D599" s="46" t="n">
        <v>45932</v>
      </c>
      <c r="E599" s="47" t="s">
        <v>58</v>
      </c>
      <c r="F599" s="48" t="n">
        <v>136001.93</v>
      </c>
      <c r="G599" s="47" t="s">
        <v>57</v>
      </c>
      <c r="H599" s="47" t="s">
        <v>39</v>
      </c>
      <c r="I599" s="47" t="s">
        <v>145</v>
      </c>
      <c r="J599" s="47" t="s">
        <v>28</v>
      </c>
      <c r="K599" s="47" t="s">
        <v>33</v>
      </c>
    </row>
    <row r="600" customFormat="false" ht="15" hidden="false" customHeight="false" outlineLevel="0" collapsed="false">
      <c r="A600" s="0" t="s">
        <v>1214</v>
      </c>
      <c r="B600" s="0" t="s">
        <v>1215</v>
      </c>
      <c r="D600" s="46" t="n">
        <v>45737</v>
      </c>
      <c r="E600" s="47" t="s">
        <v>55</v>
      </c>
      <c r="F600" s="48" t="n">
        <v>93062.69</v>
      </c>
      <c r="G600" s="47" t="s">
        <v>66</v>
      </c>
      <c r="H600" s="47" t="s">
        <v>45</v>
      </c>
      <c r="I600" s="47" t="s">
        <v>95</v>
      </c>
      <c r="J600" s="47" t="s">
        <v>29</v>
      </c>
      <c r="K600" s="47" t="s">
        <v>33</v>
      </c>
    </row>
    <row r="601" customFormat="false" ht="15" hidden="false" customHeight="false" outlineLevel="0" collapsed="false">
      <c r="A601" s="0" t="s">
        <v>1216</v>
      </c>
      <c r="B601" s="0" t="s">
        <v>952</v>
      </c>
      <c r="C601" s="0" t="s">
        <v>1217</v>
      </c>
      <c r="D601" s="46" t="n">
        <v>45690</v>
      </c>
      <c r="E601" s="47" t="s">
        <v>60</v>
      </c>
      <c r="F601" s="48" t="n">
        <v>135853.41</v>
      </c>
      <c r="G601" s="47" t="s">
        <v>53</v>
      </c>
      <c r="H601" s="47" t="s">
        <v>40</v>
      </c>
      <c r="I601" s="47" t="s">
        <v>89</v>
      </c>
      <c r="J601" s="47" t="s">
        <v>28</v>
      </c>
      <c r="K601" s="47" t="s">
        <v>34</v>
      </c>
    </row>
    <row r="602" customFormat="false" ht="15" hidden="false" customHeight="false" outlineLevel="0" collapsed="false">
      <c r="A602" s="0" t="s">
        <v>1218</v>
      </c>
      <c r="B602" s="0" t="s">
        <v>1219</v>
      </c>
      <c r="D602" s="46" t="n">
        <v>46238</v>
      </c>
      <c r="E602" s="47" t="s">
        <v>60</v>
      </c>
      <c r="F602" s="48" t="n">
        <v>178904.93</v>
      </c>
      <c r="G602" s="47" t="s">
        <v>66</v>
      </c>
      <c r="H602" s="47" t="s">
        <v>44</v>
      </c>
      <c r="I602" s="47" t="s">
        <v>132</v>
      </c>
      <c r="J602" s="47" t="s">
        <v>28</v>
      </c>
      <c r="K602" s="47" t="s">
        <v>33</v>
      </c>
    </row>
    <row r="603" customFormat="false" ht="15" hidden="false" customHeight="false" outlineLevel="0" collapsed="false">
      <c r="A603" s="0" t="s">
        <v>1220</v>
      </c>
      <c r="B603" s="0" t="s">
        <v>324</v>
      </c>
      <c r="D603" s="46" t="n">
        <v>45995</v>
      </c>
      <c r="E603" s="47" t="s">
        <v>53</v>
      </c>
      <c r="F603" s="48" t="n">
        <v>63362.45</v>
      </c>
      <c r="G603" s="47" t="s">
        <v>66</v>
      </c>
      <c r="H603" s="47" t="s">
        <v>44</v>
      </c>
      <c r="I603" s="47" t="s">
        <v>226</v>
      </c>
      <c r="J603" s="47" t="s">
        <v>28</v>
      </c>
      <c r="K603" s="47" t="s">
        <v>34</v>
      </c>
    </row>
    <row r="604" customFormat="false" ht="15" hidden="false" customHeight="false" outlineLevel="0" collapsed="false">
      <c r="A604" s="0" t="s">
        <v>1221</v>
      </c>
      <c r="B604" s="0" t="s">
        <v>1032</v>
      </c>
      <c r="D604" s="46" t="n">
        <v>46016</v>
      </c>
      <c r="E604" s="47" t="s">
        <v>60</v>
      </c>
      <c r="F604" s="48" t="n">
        <v>92015.27</v>
      </c>
      <c r="G604" s="47" t="s">
        <v>66</v>
      </c>
      <c r="H604" s="47" t="s">
        <v>48</v>
      </c>
      <c r="I604" s="47" t="s">
        <v>212</v>
      </c>
      <c r="J604" s="47" t="s">
        <v>28</v>
      </c>
      <c r="K604" s="47" t="s">
        <v>34</v>
      </c>
    </row>
    <row r="605" customFormat="false" ht="15" hidden="false" customHeight="false" outlineLevel="0" collapsed="false">
      <c r="A605" s="0" t="s">
        <v>1222</v>
      </c>
      <c r="B605" s="0" t="s">
        <v>219</v>
      </c>
      <c r="D605" s="46" t="n">
        <v>45706</v>
      </c>
      <c r="E605" s="47" t="s">
        <v>59</v>
      </c>
      <c r="F605" s="48" t="n">
        <v>13706.39</v>
      </c>
      <c r="G605" s="47" t="s">
        <v>65</v>
      </c>
      <c r="H605" s="47" t="s">
        <v>40</v>
      </c>
      <c r="I605" s="47" t="s">
        <v>83</v>
      </c>
      <c r="J605" s="47" t="s">
        <v>28</v>
      </c>
      <c r="K605" s="47" t="s">
        <v>34</v>
      </c>
    </row>
    <row r="606" customFormat="false" ht="15" hidden="false" customHeight="false" outlineLevel="0" collapsed="false">
      <c r="A606" s="0" t="s">
        <v>1223</v>
      </c>
      <c r="B606" s="0" t="s">
        <v>244</v>
      </c>
      <c r="D606" s="46" t="n">
        <v>46214</v>
      </c>
      <c r="E606" s="47" t="s">
        <v>61</v>
      </c>
      <c r="F606" s="48" t="n">
        <v>176903.34</v>
      </c>
      <c r="G606" s="47" t="s">
        <v>65</v>
      </c>
      <c r="H606" s="47" t="s">
        <v>47</v>
      </c>
      <c r="I606" s="47" t="s">
        <v>245</v>
      </c>
      <c r="J606" s="47" t="s">
        <v>28</v>
      </c>
      <c r="K606" s="47" t="s">
        <v>33</v>
      </c>
    </row>
    <row r="607" customFormat="false" ht="15" hidden="false" customHeight="false" outlineLevel="0" collapsed="false">
      <c r="A607" s="0" t="s">
        <v>1224</v>
      </c>
      <c r="B607" s="0" t="s">
        <v>172</v>
      </c>
      <c r="D607" s="46" t="n">
        <v>45734</v>
      </c>
      <c r="E607" s="47" t="s">
        <v>55</v>
      </c>
      <c r="F607" s="48" t="n">
        <v>15639.66</v>
      </c>
      <c r="G607" s="47" t="s">
        <v>66</v>
      </c>
      <c r="H607" s="47" t="s">
        <v>47</v>
      </c>
      <c r="I607" s="47" t="s">
        <v>108</v>
      </c>
      <c r="J607" s="47" t="s">
        <v>29</v>
      </c>
      <c r="K607" s="47" t="s">
        <v>34</v>
      </c>
    </row>
    <row r="608" customFormat="false" ht="15" hidden="false" customHeight="false" outlineLevel="0" collapsed="false">
      <c r="A608" s="0" t="s">
        <v>1225</v>
      </c>
      <c r="B608" s="0" t="s">
        <v>1226</v>
      </c>
      <c r="D608" s="46" t="n">
        <v>46044</v>
      </c>
      <c r="E608" s="47" t="s">
        <v>60</v>
      </c>
      <c r="F608" s="48" t="n">
        <v>78089.73</v>
      </c>
      <c r="G608" s="47" t="s">
        <v>68</v>
      </c>
      <c r="H608" s="47" t="s">
        <v>43</v>
      </c>
      <c r="I608" s="47" t="s">
        <v>117</v>
      </c>
      <c r="J608" s="47" t="s">
        <v>30</v>
      </c>
      <c r="K608" s="47" t="s">
        <v>34</v>
      </c>
    </row>
    <row r="609" customFormat="false" ht="15" hidden="false" customHeight="false" outlineLevel="0" collapsed="false">
      <c r="A609" s="0" t="s">
        <v>1227</v>
      </c>
      <c r="B609" s="0" t="s">
        <v>1228</v>
      </c>
      <c r="D609" s="46" t="n">
        <v>46009</v>
      </c>
      <c r="E609" s="47" t="s">
        <v>62</v>
      </c>
      <c r="F609" s="48" t="n">
        <v>31217.6</v>
      </c>
      <c r="G609" s="47" t="s">
        <v>53</v>
      </c>
      <c r="H609" s="47" t="s">
        <v>39</v>
      </c>
      <c r="I609" s="47" t="s">
        <v>98</v>
      </c>
      <c r="J609" s="47" t="s">
        <v>28</v>
      </c>
      <c r="K609" s="47" t="s">
        <v>33</v>
      </c>
    </row>
    <row r="610" customFormat="false" ht="15" hidden="false" customHeight="false" outlineLevel="0" collapsed="false">
      <c r="A610" s="0" t="s">
        <v>1229</v>
      </c>
      <c r="B610" s="0" t="s">
        <v>804</v>
      </c>
      <c r="D610" s="46" t="n">
        <v>46166</v>
      </c>
      <c r="E610" s="47" t="s">
        <v>53</v>
      </c>
      <c r="F610" s="48" t="n">
        <v>126162.21</v>
      </c>
      <c r="G610" s="47" t="s">
        <v>65</v>
      </c>
      <c r="H610" s="47" t="s">
        <v>40</v>
      </c>
      <c r="I610" s="47" t="s">
        <v>83</v>
      </c>
      <c r="J610" s="47" t="s">
        <v>28</v>
      </c>
      <c r="K610" s="47" t="s">
        <v>33</v>
      </c>
    </row>
    <row r="611" customFormat="false" ht="15" hidden="false" customHeight="false" outlineLevel="0" collapsed="false">
      <c r="A611" s="0" t="s">
        <v>1230</v>
      </c>
      <c r="B611" s="0" t="s">
        <v>619</v>
      </c>
      <c r="D611" s="46" t="n">
        <v>46140</v>
      </c>
      <c r="E611" s="47" t="s">
        <v>60</v>
      </c>
      <c r="F611" s="48" t="n">
        <v>167850.43</v>
      </c>
      <c r="G611" s="47" t="s">
        <v>57</v>
      </c>
      <c r="H611" s="47" t="s">
        <v>43</v>
      </c>
      <c r="I611" s="47" t="s">
        <v>117</v>
      </c>
      <c r="J611" s="47" t="s">
        <v>28</v>
      </c>
      <c r="K611" s="47" t="s">
        <v>33</v>
      </c>
    </row>
    <row r="612" customFormat="false" ht="15" hidden="false" customHeight="false" outlineLevel="0" collapsed="false">
      <c r="A612" s="0" t="s">
        <v>1231</v>
      </c>
      <c r="B612" s="0" t="s">
        <v>952</v>
      </c>
      <c r="C612" s="0" t="s">
        <v>1217</v>
      </c>
      <c r="D612" s="46" t="n">
        <v>45799</v>
      </c>
      <c r="E612" s="47" t="s">
        <v>55</v>
      </c>
      <c r="F612" s="48" t="n">
        <v>93411.98</v>
      </c>
      <c r="G612" s="47" t="s">
        <v>53</v>
      </c>
      <c r="H612" s="47" t="s">
        <v>40</v>
      </c>
      <c r="I612" s="47" t="s">
        <v>89</v>
      </c>
      <c r="J612" s="47" t="s">
        <v>28</v>
      </c>
      <c r="K612" s="47" t="s">
        <v>33</v>
      </c>
    </row>
    <row r="613" customFormat="false" ht="15" hidden="false" customHeight="false" outlineLevel="0" collapsed="false">
      <c r="A613" s="0" t="s">
        <v>1232</v>
      </c>
      <c r="B613" s="0" t="s">
        <v>1233</v>
      </c>
      <c r="D613" s="46" t="n">
        <v>45676</v>
      </c>
      <c r="E613" s="47" t="s">
        <v>58</v>
      </c>
      <c r="F613" s="48" t="n">
        <v>52770.13</v>
      </c>
      <c r="G613" s="47" t="s">
        <v>53</v>
      </c>
      <c r="H613" s="47" t="s">
        <v>39</v>
      </c>
      <c r="I613" s="47" t="s">
        <v>177</v>
      </c>
      <c r="J613" s="47" t="s">
        <v>28</v>
      </c>
      <c r="K613" s="47" t="s">
        <v>34</v>
      </c>
    </row>
    <row r="614" customFormat="false" ht="15" hidden="false" customHeight="false" outlineLevel="0" collapsed="false">
      <c r="A614" s="0" t="s">
        <v>1234</v>
      </c>
      <c r="B614" s="0" t="s">
        <v>619</v>
      </c>
      <c r="D614" s="46" t="n">
        <v>45887</v>
      </c>
      <c r="E614" s="47" t="s">
        <v>53</v>
      </c>
      <c r="F614" s="48" t="n">
        <v>66092.61</v>
      </c>
      <c r="G614" s="47" t="s">
        <v>66</v>
      </c>
      <c r="H614" s="47" t="s">
        <v>43</v>
      </c>
      <c r="I614" s="47" t="s">
        <v>117</v>
      </c>
      <c r="J614" s="47" t="s">
        <v>28</v>
      </c>
      <c r="K614" s="47" t="s">
        <v>34</v>
      </c>
    </row>
    <row r="615" customFormat="false" ht="15" hidden="false" customHeight="false" outlineLevel="0" collapsed="false">
      <c r="A615" s="0" t="s">
        <v>1235</v>
      </c>
      <c r="B615" s="0" t="s">
        <v>1236</v>
      </c>
      <c r="D615" s="46" t="n">
        <v>46187</v>
      </c>
      <c r="E615" s="47" t="s">
        <v>55</v>
      </c>
      <c r="F615" s="48" t="n">
        <v>138494.31</v>
      </c>
      <c r="G615" s="47" t="s">
        <v>57</v>
      </c>
      <c r="H615" s="47" t="s">
        <v>43</v>
      </c>
      <c r="I615" s="47" t="s">
        <v>201</v>
      </c>
      <c r="J615" s="47" t="s">
        <v>28</v>
      </c>
      <c r="K615" s="47" t="s">
        <v>34</v>
      </c>
    </row>
    <row r="616" customFormat="false" ht="15" hidden="false" customHeight="false" outlineLevel="0" collapsed="false">
      <c r="A616" s="0" t="s">
        <v>1237</v>
      </c>
      <c r="B616" s="0" t="s">
        <v>1238</v>
      </c>
      <c r="D616" s="46" t="n">
        <v>46163</v>
      </c>
      <c r="E616" s="47" t="s">
        <v>53</v>
      </c>
      <c r="F616" s="48" t="n">
        <v>96035.52</v>
      </c>
      <c r="G616" s="47" t="s">
        <v>53</v>
      </c>
      <c r="H616" s="47" t="s">
        <v>39</v>
      </c>
      <c r="I616" s="47" t="s">
        <v>145</v>
      </c>
      <c r="J616" s="47" t="s">
        <v>28</v>
      </c>
      <c r="K616" s="47" t="s">
        <v>34</v>
      </c>
    </row>
    <row r="617" customFormat="false" ht="15" hidden="false" customHeight="false" outlineLevel="0" collapsed="false">
      <c r="A617" s="0" t="s">
        <v>1239</v>
      </c>
      <c r="B617" s="0" t="s">
        <v>129</v>
      </c>
      <c r="D617" s="46" t="n">
        <v>45855</v>
      </c>
      <c r="E617" s="47" t="s">
        <v>58</v>
      </c>
      <c r="F617" s="48" t="n">
        <v>27798.92</v>
      </c>
      <c r="G617" s="47" t="s">
        <v>65</v>
      </c>
      <c r="H617" s="47" t="s">
        <v>45</v>
      </c>
      <c r="I617" s="47" t="s">
        <v>95</v>
      </c>
      <c r="J617" s="47" t="s">
        <v>30</v>
      </c>
      <c r="K617" s="47" t="s">
        <v>33</v>
      </c>
    </row>
    <row r="618" customFormat="false" ht="15" hidden="false" customHeight="false" outlineLevel="0" collapsed="false">
      <c r="A618" s="0" t="s">
        <v>1240</v>
      </c>
      <c r="B618" s="0" t="s">
        <v>1241</v>
      </c>
      <c r="D618" s="46" t="n">
        <v>46176</v>
      </c>
      <c r="E618" s="47" t="s">
        <v>60</v>
      </c>
      <c r="F618" s="48" t="n">
        <v>135245.55</v>
      </c>
      <c r="G618" s="47" t="s">
        <v>68</v>
      </c>
      <c r="H618" s="47" t="s">
        <v>43</v>
      </c>
      <c r="I618" s="47" t="s">
        <v>117</v>
      </c>
      <c r="J618" s="47" t="s">
        <v>28</v>
      </c>
      <c r="K618" s="47" t="s">
        <v>34</v>
      </c>
    </row>
    <row r="619" customFormat="false" ht="15" hidden="false" customHeight="false" outlineLevel="0" collapsed="false">
      <c r="A619" s="0" t="s">
        <v>1242</v>
      </c>
      <c r="B619" s="0" t="s">
        <v>1243</v>
      </c>
      <c r="D619" s="46" t="n">
        <v>46180</v>
      </c>
      <c r="E619" s="47" t="s">
        <v>55</v>
      </c>
      <c r="F619" s="48" t="n">
        <v>82181.03</v>
      </c>
      <c r="G619" s="47" t="s">
        <v>68</v>
      </c>
      <c r="H619" s="47" t="s">
        <v>44</v>
      </c>
      <c r="I619" s="47" t="s">
        <v>226</v>
      </c>
      <c r="J619" s="47" t="s">
        <v>28</v>
      </c>
      <c r="K619" s="47" t="s">
        <v>34</v>
      </c>
    </row>
    <row r="620" customFormat="false" ht="15" hidden="false" customHeight="false" outlineLevel="0" collapsed="false">
      <c r="A620" s="0" t="s">
        <v>1244</v>
      </c>
      <c r="B620" s="0" t="s">
        <v>631</v>
      </c>
      <c r="D620" s="46" t="n">
        <v>45836</v>
      </c>
      <c r="E620" s="47" t="s">
        <v>60</v>
      </c>
      <c r="F620" s="48" t="n">
        <v>167588.24</v>
      </c>
      <c r="G620" s="47" t="s">
        <v>65</v>
      </c>
      <c r="H620" s="47" t="s">
        <v>43</v>
      </c>
      <c r="I620" s="47" t="s">
        <v>201</v>
      </c>
      <c r="J620" s="47" t="s">
        <v>28</v>
      </c>
      <c r="K620" s="47" t="s">
        <v>34</v>
      </c>
    </row>
    <row r="621" customFormat="false" ht="15" hidden="false" customHeight="false" outlineLevel="0" collapsed="false">
      <c r="A621" s="0" t="s">
        <v>1245</v>
      </c>
      <c r="B621" s="0" t="s">
        <v>1246</v>
      </c>
      <c r="D621" s="46" t="n">
        <v>46172</v>
      </c>
      <c r="E621" s="47" t="s">
        <v>53</v>
      </c>
      <c r="F621" s="48" t="n">
        <v>2368.37</v>
      </c>
      <c r="G621" s="47" t="s">
        <v>65</v>
      </c>
      <c r="H621" s="47" t="s">
        <v>47</v>
      </c>
      <c r="I621" s="47" t="s">
        <v>245</v>
      </c>
      <c r="J621" s="47" t="s">
        <v>28</v>
      </c>
      <c r="K621" s="47" t="s">
        <v>33</v>
      </c>
    </row>
    <row r="622" customFormat="false" ht="15" hidden="false" customHeight="false" outlineLevel="0" collapsed="false">
      <c r="A622" s="0" t="s">
        <v>1247</v>
      </c>
      <c r="B622" s="0" t="s">
        <v>1248</v>
      </c>
      <c r="D622" s="46" t="n">
        <v>46065</v>
      </c>
      <c r="E622" s="47" t="s">
        <v>53</v>
      </c>
      <c r="F622" s="48" t="n">
        <v>87337.5</v>
      </c>
      <c r="G622" s="47" t="s">
        <v>66</v>
      </c>
      <c r="H622" s="47" t="s">
        <v>44</v>
      </c>
      <c r="I622" s="47" t="s">
        <v>80</v>
      </c>
      <c r="J622" s="47" t="s">
        <v>28</v>
      </c>
      <c r="K622" s="47" t="s">
        <v>34</v>
      </c>
    </row>
    <row r="623" customFormat="false" ht="15" hidden="false" customHeight="false" outlineLevel="0" collapsed="false">
      <c r="A623" s="0" t="s">
        <v>1249</v>
      </c>
      <c r="B623" s="0" t="s">
        <v>1250</v>
      </c>
      <c r="C623" s="0" t="s">
        <v>1251</v>
      </c>
      <c r="D623" s="46" t="n">
        <v>46013</v>
      </c>
      <c r="E623" s="47" t="s">
        <v>61</v>
      </c>
      <c r="F623" s="48" t="n">
        <v>129580.09</v>
      </c>
      <c r="G623" s="47" t="s">
        <v>53</v>
      </c>
      <c r="H623" s="47" t="s">
        <v>46</v>
      </c>
      <c r="I623" s="47" t="s">
        <v>121</v>
      </c>
      <c r="J623" s="47" t="s">
        <v>28</v>
      </c>
      <c r="K623" s="47" t="s">
        <v>34</v>
      </c>
    </row>
    <row r="624" customFormat="false" ht="15" hidden="false" customHeight="false" outlineLevel="0" collapsed="false">
      <c r="A624" s="0" t="s">
        <v>1252</v>
      </c>
      <c r="B624" s="0" t="s">
        <v>621</v>
      </c>
      <c r="D624" s="46" t="n">
        <v>45787</v>
      </c>
      <c r="E624" s="47" t="s">
        <v>53</v>
      </c>
      <c r="F624" s="48" t="n">
        <v>55585.53</v>
      </c>
      <c r="G624" s="47" t="s">
        <v>65</v>
      </c>
      <c r="H624" s="47" t="s">
        <v>44</v>
      </c>
      <c r="I624" s="47" t="s">
        <v>226</v>
      </c>
      <c r="J624" s="47" t="s">
        <v>28</v>
      </c>
      <c r="K624" s="47" t="s">
        <v>34</v>
      </c>
    </row>
    <row r="625" customFormat="false" ht="15" hidden="false" customHeight="false" outlineLevel="0" collapsed="false">
      <c r="A625" s="0" t="s">
        <v>1253</v>
      </c>
      <c r="B625" s="0" t="s">
        <v>1254</v>
      </c>
      <c r="D625" s="46" t="n">
        <v>45684</v>
      </c>
      <c r="E625" s="47" t="s">
        <v>59</v>
      </c>
      <c r="F625" s="48" t="n">
        <v>186653.6</v>
      </c>
      <c r="G625" s="47" t="s">
        <v>53</v>
      </c>
      <c r="H625" s="47" t="s">
        <v>44</v>
      </c>
      <c r="I625" s="47" t="s">
        <v>226</v>
      </c>
      <c r="J625" s="47" t="s">
        <v>28</v>
      </c>
      <c r="K625" s="47" t="s">
        <v>34</v>
      </c>
    </row>
    <row r="626" customFormat="false" ht="15" hidden="false" customHeight="false" outlineLevel="0" collapsed="false">
      <c r="A626" s="0" t="s">
        <v>1255</v>
      </c>
      <c r="B626" s="0" t="s">
        <v>1256</v>
      </c>
      <c r="D626" s="46" t="n">
        <v>46058</v>
      </c>
      <c r="E626" s="47" t="s">
        <v>58</v>
      </c>
      <c r="F626" s="48" t="n">
        <v>59120.88</v>
      </c>
      <c r="G626" s="47" t="s">
        <v>53</v>
      </c>
      <c r="H626" s="47" t="s">
        <v>48</v>
      </c>
      <c r="I626" s="47" t="s">
        <v>111</v>
      </c>
      <c r="J626" s="47" t="s">
        <v>28</v>
      </c>
      <c r="K626" s="47" t="s">
        <v>34</v>
      </c>
    </row>
    <row r="627" customFormat="false" ht="15" hidden="false" customHeight="false" outlineLevel="0" collapsed="false">
      <c r="A627" s="0" t="s">
        <v>1257</v>
      </c>
      <c r="B627" s="0" t="s">
        <v>435</v>
      </c>
      <c r="D627" s="46" t="n">
        <v>45901</v>
      </c>
      <c r="E627" s="47" t="s">
        <v>60</v>
      </c>
      <c r="F627" s="48" t="n">
        <v>103705.47</v>
      </c>
      <c r="G627" s="47" t="s">
        <v>68</v>
      </c>
      <c r="H627" s="47" t="s">
        <v>48</v>
      </c>
      <c r="I627" s="47" t="s">
        <v>114</v>
      </c>
      <c r="J627" s="47" t="s">
        <v>28</v>
      </c>
      <c r="K627" s="47" t="s">
        <v>34</v>
      </c>
    </row>
    <row r="628" customFormat="false" ht="15" hidden="false" customHeight="false" outlineLevel="0" collapsed="false">
      <c r="A628" s="0" t="s">
        <v>1258</v>
      </c>
      <c r="B628" s="0" t="s">
        <v>837</v>
      </c>
      <c r="D628" s="46" t="n">
        <v>45839</v>
      </c>
      <c r="E628" s="47" t="s">
        <v>59</v>
      </c>
      <c r="F628" s="48" t="n">
        <v>145958.69</v>
      </c>
      <c r="G628" s="47" t="s">
        <v>65</v>
      </c>
      <c r="H628" s="47" t="s">
        <v>39</v>
      </c>
      <c r="I628" s="47" t="s">
        <v>177</v>
      </c>
      <c r="J628" s="47" t="s">
        <v>28</v>
      </c>
      <c r="K628" s="47" t="s">
        <v>33</v>
      </c>
    </row>
    <row r="629" customFormat="false" ht="15" hidden="false" customHeight="false" outlineLevel="0" collapsed="false">
      <c r="A629" s="0" t="s">
        <v>1259</v>
      </c>
      <c r="B629" s="0" t="s">
        <v>1260</v>
      </c>
      <c r="D629" s="46" t="n">
        <v>46021</v>
      </c>
      <c r="E629" s="47" t="s">
        <v>53</v>
      </c>
      <c r="F629" s="48" t="n">
        <v>78316.8</v>
      </c>
      <c r="G629" s="47" t="s">
        <v>57</v>
      </c>
      <c r="H629" s="47" t="s">
        <v>46</v>
      </c>
      <c r="I629" s="47" t="s">
        <v>121</v>
      </c>
      <c r="J629" s="47" t="s">
        <v>28</v>
      </c>
      <c r="K629" s="47" t="s">
        <v>33</v>
      </c>
    </row>
    <row r="630" customFormat="false" ht="15" hidden="false" customHeight="false" outlineLevel="0" collapsed="false">
      <c r="A630" s="0" t="s">
        <v>1261</v>
      </c>
      <c r="B630" s="0" t="s">
        <v>410</v>
      </c>
      <c r="D630" s="46" t="n">
        <v>46213</v>
      </c>
      <c r="E630" s="47" t="s">
        <v>59</v>
      </c>
      <c r="F630" s="48" t="n">
        <v>127051.25</v>
      </c>
      <c r="G630" s="47" t="s">
        <v>68</v>
      </c>
      <c r="H630" s="47" t="s">
        <v>47</v>
      </c>
      <c r="I630" s="47" t="s">
        <v>245</v>
      </c>
      <c r="J630" s="47" t="s">
        <v>28</v>
      </c>
      <c r="K630" s="47" t="s">
        <v>34</v>
      </c>
    </row>
    <row r="631" customFormat="false" ht="15" hidden="false" customHeight="false" outlineLevel="0" collapsed="false">
      <c r="A631" s="0" t="s">
        <v>1262</v>
      </c>
      <c r="B631" s="0" t="s">
        <v>812</v>
      </c>
      <c r="D631" s="46" t="n">
        <v>46098</v>
      </c>
      <c r="E631" s="47" t="s">
        <v>59</v>
      </c>
      <c r="F631" s="48" t="n">
        <v>7419.79</v>
      </c>
      <c r="G631" s="47" t="s">
        <v>53</v>
      </c>
      <c r="H631" s="47" t="s">
        <v>43</v>
      </c>
      <c r="I631" s="47" t="s">
        <v>201</v>
      </c>
      <c r="J631" s="47" t="s">
        <v>28</v>
      </c>
      <c r="K631" s="47" t="s">
        <v>34</v>
      </c>
    </row>
    <row r="632" customFormat="false" ht="15" hidden="false" customHeight="false" outlineLevel="0" collapsed="false">
      <c r="A632" s="0" t="s">
        <v>1263</v>
      </c>
      <c r="B632" s="0" t="s">
        <v>1264</v>
      </c>
      <c r="C632" s="0" t="s">
        <v>1265</v>
      </c>
      <c r="D632" s="46" t="n">
        <v>45932</v>
      </c>
      <c r="E632" s="47" t="s">
        <v>61</v>
      </c>
      <c r="F632" s="48" t="n">
        <v>12758.7</v>
      </c>
      <c r="G632" s="47" t="s">
        <v>66</v>
      </c>
      <c r="H632" s="47" t="s">
        <v>43</v>
      </c>
      <c r="I632" s="47" t="s">
        <v>117</v>
      </c>
      <c r="J632" s="47" t="s">
        <v>28</v>
      </c>
      <c r="K632" s="47" t="s">
        <v>33</v>
      </c>
    </row>
    <row r="633" customFormat="false" ht="15" hidden="false" customHeight="false" outlineLevel="0" collapsed="false">
      <c r="A633" s="0" t="s">
        <v>1266</v>
      </c>
      <c r="B633" s="0" t="s">
        <v>1267</v>
      </c>
      <c r="D633" s="46" t="n">
        <v>46098</v>
      </c>
      <c r="E633" s="47" t="s">
        <v>62</v>
      </c>
      <c r="F633" s="48" t="n">
        <v>86805.48</v>
      </c>
      <c r="G633" s="47" t="s">
        <v>66</v>
      </c>
      <c r="H633" s="47" t="s">
        <v>44</v>
      </c>
      <c r="I633" s="47" t="s">
        <v>80</v>
      </c>
      <c r="J633" s="47" t="s">
        <v>28</v>
      </c>
      <c r="K633" s="47" t="s">
        <v>33</v>
      </c>
    </row>
    <row r="634" customFormat="false" ht="15" hidden="false" customHeight="false" outlineLevel="0" collapsed="false">
      <c r="A634" s="0" t="s">
        <v>1268</v>
      </c>
      <c r="B634" s="0" t="s">
        <v>529</v>
      </c>
      <c r="D634" s="46" t="n">
        <v>45663</v>
      </c>
      <c r="E634" s="47" t="s">
        <v>59</v>
      </c>
      <c r="F634" s="48" t="n">
        <v>145476.23</v>
      </c>
      <c r="G634" s="47" t="s">
        <v>57</v>
      </c>
      <c r="H634" s="47" t="s">
        <v>48</v>
      </c>
      <c r="I634" s="47" t="s">
        <v>212</v>
      </c>
      <c r="J634" s="47" t="s">
        <v>28</v>
      </c>
      <c r="K634" s="47" t="s">
        <v>33</v>
      </c>
    </row>
    <row r="635" customFormat="false" ht="15" hidden="false" customHeight="false" outlineLevel="0" collapsed="false">
      <c r="A635" s="0" t="s">
        <v>1269</v>
      </c>
      <c r="B635" s="0" t="s">
        <v>1270</v>
      </c>
      <c r="D635" s="46" t="n">
        <v>46036</v>
      </c>
      <c r="E635" s="47" t="s">
        <v>60</v>
      </c>
      <c r="F635" s="48" t="n">
        <v>59124.88</v>
      </c>
      <c r="G635" s="47" t="s">
        <v>66</v>
      </c>
      <c r="H635" s="47" t="s">
        <v>44</v>
      </c>
      <c r="I635" s="47" t="s">
        <v>132</v>
      </c>
      <c r="J635" s="47" t="s">
        <v>28</v>
      </c>
      <c r="K635" s="47" t="s">
        <v>33</v>
      </c>
    </row>
    <row r="636" customFormat="false" ht="15" hidden="false" customHeight="false" outlineLevel="0" collapsed="false">
      <c r="A636" s="0" t="s">
        <v>1271</v>
      </c>
      <c r="B636" s="0" t="s">
        <v>127</v>
      </c>
      <c r="D636" s="46" t="n">
        <v>46268</v>
      </c>
      <c r="E636" s="47" t="s">
        <v>59</v>
      </c>
      <c r="F636" s="48" t="n">
        <v>43737.89</v>
      </c>
      <c r="G636" s="47" t="s">
        <v>57</v>
      </c>
      <c r="H636" s="47" t="s">
        <v>39</v>
      </c>
      <c r="I636" s="47" t="s">
        <v>98</v>
      </c>
      <c r="J636" s="47" t="s">
        <v>28</v>
      </c>
      <c r="K636" s="47" t="s">
        <v>34</v>
      </c>
    </row>
    <row r="637" customFormat="false" ht="15" hidden="false" customHeight="false" outlineLevel="0" collapsed="false">
      <c r="A637" s="0" t="s">
        <v>1272</v>
      </c>
      <c r="B637" s="0" t="s">
        <v>1273</v>
      </c>
      <c r="D637" s="46" t="n">
        <v>45823</v>
      </c>
      <c r="E637" s="47" t="s">
        <v>58</v>
      </c>
      <c r="F637" s="48" t="n">
        <v>136572.71</v>
      </c>
      <c r="G637" s="47" t="s">
        <v>57</v>
      </c>
      <c r="H637" s="47" t="s">
        <v>46</v>
      </c>
      <c r="I637" s="47" t="s">
        <v>121</v>
      </c>
      <c r="J637" s="47" t="s">
        <v>29</v>
      </c>
      <c r="K637" s="47" t="s">
        <v>33</v>
      </c>
    </row>
    <row r="638" customFormat="false" ht="15" hidden="false" customHeight="false" outlineLevel="0" collapsed="false">
      <c r="A638" s="0" t="s">
        <v>1274</v>
      </c>
      <c r="B638" s="0" t="s">
        <v>259</v>
      </c>
      <c r="D638" s="46" t="n">
        <v>45692</v>
      </c>
      <c r="E638" s="47" t="s">
        <v>58</v>
      </c>
      <c r="F638" s="48" t="n">
        <v>177974.31</v>
      </c>
      <c r="G638" s="47" t="s">
        <v>68</v>
      </c>
      <c r="H638" s="47" t="s">
        <v>42</v>
      </c>
      <c r="I638" s="47" t="s">
        <v>137</v>
      </c>
      <c r="J638" s="47" t="s">
        <v>28</v>
      </c>
      <c r="K638" s="47" t="s">
        <v>34</v>
      </c>
    </row>
    <row r="639" customFormat="false" ht="15" hidden="false" customHeight="false" outlineLevel="0" collapsed="false">
      <c r="A639" s="0" t="s">
        <v>1275</v>
      </c>
      <c r="B639" s="0" t="s">
        <v>1276</v>
      </c>
      <c r="C639" s="0" t="s">
        <v>1277</v>
      </c>
      <c r="D639" s="46" t="n">
        <v>45833</v>
      </c>
      <c r="E639" s="47" t="s">
        <v>62</v>
      </c>
      <c r="F639" s="48" t="n">
        <v>115353.21</v>
      </c>
      <c r="G639" s="47" t="s">
        <v>57</v>
      </c>
      <c r="H639" s="47" t="s">
        <v>46</v>
      </c>
      <c r="I639" s="47" t="s">
        <v>121</v>
      </c>
      <c r="J639" s="47" t="s">
        <v>28</v>
      </c>
      <c r="K639" s="47" t="s">
        <v>33</v>
      </c>
    </row>
    <row r="640" customFormat="false" ht="15" hidden="false" customHeight="false" outlineLevel="0" collapsed="false">
      <c r="A640" s="0" t="s">
        <v>1278</v>
      </c>
      <c r="B640" s="0" t="s">
        <v>623</v>
      </c>
      <c r="D640" s="46" t="n">
        <v>45846</v>
      </c>
      <c r="E640" s="47" t="s">
        <v>62</v>
      </c>
      <c r="F640" s="48" t="n">
        <v>91744.84</v>
      </c>
      <c r="G640" s="47" t="s">
        <v>68</v>
      </c>
      <c r="H640" s="47" t="s">
        <v>40</v>
      </c>
      <c r="I640" s="47" t="s">
        <v>89</v>
      </c>
      <c r="J640" s="47" t="s">
        <v>29</v>
      </c>
      <c r="K640" s="47" t="s">
        <v>34</v>
      </c>
    </row>
    <row r="641" customFormat="false" ht="15" hidden="false" customHeight="false" outlineLevel="0" collapsed="false">
      <c r="A641" s="0" t="s">
        <v>1279</v>
      </c>
      <c r="B641" s="0" t="s">
        <v>923</v>
      </c>
      <c r="D641" s="46" t="n">
        <v>45881</v>
      </c>
      <c r="E641" s="47" t="s">
        <v>53</v>
      </c>
      <c r="F641" s="48" t="n">
        <v>59397.26</v>
      </c>
      <c r="G641" s="47" t="s">
        <v>57</v>
      </c>
      <c r="H641" s="47" t="s">
        <v>42</v>
      </c>
      <c r="I641" s="47" t="s">
        <v>105</v>
      </c>
      <c r="J641" s="47" t="s">
        <v>28</v>
      </c>
      <c r="K641" s="47" t="s">
        <v>33</v>
      </c>
    </row>
    <row r="642" customFormat="false" ht="15" hidden="false" customHeight="false" outlineLevel="0" collapsed="false">
      <c r="A642" s="0" t="s">
        <v>1280</v>
      </c>
      <c r="B642" s="0" t="s">
        <v>392</v>
      </c>
      <c r="C642" s="0" t="s">
        <v>393</v>
      </c>
      <c r="D642" s="46" t="n">
        <v>45683</v>
      </c>
      <c r="E642" s="47" t="s">
        <v>61</v>
      </c>
      <c r="F642" s="48" t="n">
        <v>177651.95</v>
      </c>
      <c r="G642" s="47" t="s">
        <v>65</v>
      </c>
      <c r="H642" s="47" t="s">
        <v>41</v>
      </c>
      <c r="I642" s="47" t="s">
        <v>86</v>
      </c>
      <c r="J642" s="47" t="s">
        <v>28</v>
      </c>
      <c r="K642" s="47" t="s">
        <v>34</v>
      </c>
    </row>
    <row r="643" customFormat="false" ht="15" hidden="false" customHeight="false" outlineLevel="0" collapsed="false">
      <c r="A643" s="0" t="s">
        <v>1281</v>
      </c>
      <c r="B643" s="0" t="s">
        <v>1282</v>
      </c>
      <c r="C643" s="0" t="s">
        <v>1283</v>
      </c>
      <c r="D643" s="46" t="n">
        <v>45744</v>
      </c>
      <c r="E643" s="47" t="s">
        <v>53</v>
      </c>
      <c r="F643" s="48" t="n">
        <v>117476.69</v>
      </c>
      <c r="G643" s="47" t="s">
        <v>66</v>
      </c>
      <c r="H643" s="47" t="s">
        <v>44</v>
      </c>
      <c r="I643" s="47" t="s">
        <v>226</v>
      </c>
      <c r="J643" s="47" t="s">
        <v>28</v>
      </c>
      <c r="K643" s="47" t="s">
        <v>33</v>
      </c>
    </row>
    <row r="644" customFormat="false" ht="15" hidden="false" customHeight="false" outlineLevel="0" collapsed="false">
      <c r="A644" s="0" t="s">
        <v>1284</v>
      </c>
      <c r="B644" s="0" t="s">
        <v>538</v>
      </c>
      <c r="D644" s="46" t="n">
        <v>46031</v>
      </c>
      <c r="E644" s="47" t="s">
        <v>59</v>
      </c>
      <c r="F644" s="48" t="n">
        <v>177521.2</v>
      </c>
      <c r="G644" s="47" t="s">
        <v>65</v>
      </c>
      <c r="H644" s="47" t="s">
        <v>46</v>
      </c>
      <c r="I644" s="47" t="s">
        <v>242</v>
      </c>
      <c r="J644" s="47" t="s">
        <v>28</v>
      </c>
      <c r="K644" s="47" t="s">
        <v>34</v>
      </c>
    </row>
    <row r="645" customFormat="false" ht="15" hidden="false" customHeight="false" outlineLevel="0" collapsed="false">
      <c r="A645" s="0" t="s">
        <v>1285</v>
      </c>
      <c r="B645" s="0" t="s">
        <v>1211</v>
      </c>
      <c r="D645" s="46" t="n">
        <v>46199</v>
      </c>
      <c r="E645" s="47" t="s">
        <v>59</v>
      </c>
      <c r="F645" s="48" t="n">
        <v>157736.63</v>
      </c>
      <c r="G645" s="47" t="s">
        <v>68</v>
      </c>
      <c r="H645" s="47" t="s">
        <v>40</v>
      </c>
      <c r="I645" s="47" t="s">
        <v>89</v>
      </c>
      <c r="J645" s="47" t="s">
        <v>28</v>
      </c>
      <c r="K645" s="47" t="s">
        <v>33</v>
      </c>
    </row>
    <row r="646" customFormat="false" ht="15" hidden="false" customHeight="false" outlineLevel="0" collapsed="false">
      <c r="A646" s="0" t="s">
        <v>1286</v>
      </c>
      <c r="B646" s="0" t="s">
        <v>561</v>
      </c>
      <c r="C646" s="0" t="s">
        <v>1287</v>
      </c>
      <c r="D646" s="46" t="n">
        <v>46000</v>
      </c>
      <c r="E646" s="47" t="s">
        <v>55</v>
      </c>
      <c r="F646" s="48" t="n">
        <v>169256.06</v>
      </c>
      <c r="G646" s="47" t="s">
        <v>57</v>
      </c>
      <c r="H646" s="47" t="s">
        <v>43</v>
      </c>
      <c r="I646" s="47" t="s">
        <v>201</v>
      </c>
      <c r="J646" s="47" t="s">
        <v>28</v>
      </c>
      <c r="K646" s="47" t="s">
        <v>33</v>
      </c>
    </row>
    <row r="647" customFormat="false" ht="15" hidden="false" customHeight="false" outlineLevel="0" collapsed="false">
      <c r="A647" s="0" t="s">
        <v>1288</v>
      </c>
      <c r="B647" s="0" t="s">
        <v>1289</v>
      </c>
      <c r="D647" s="46" t="n">
        <v>46158</v>
      </c>
      <c r="E647" s="47" t="s">
        <v>58</v>
      </c>
      <c r="F647" s="48" t="n">
        <v>51815.02</v>
      </c>
      <c r="G647" s="47" t="s">
        <v>65</v>
      </c>
      <c r="H647" s="47" t="s">
        <v>46</v>
      </c>
      <c r="I647" s="47" t="s">
        <v>121</v>
      </c>
      <c r="J647" s="47" t="s">
        <v>28</v>
      </c>
      <c r="K647" s="47" t="s">
        <v>34</v>
      </c>
    </row>
    <row r="648" customFormat="false" ht="15" hidden="false" customHeight="false" outlineLevel="0" collapsed="false">
      <c r="A648" s="0" t="s">
        <v>1290</v>
      </c>
      <c r="B648" s="0" t="s">
        <v>1291</v>
      </c>
      <c r="D648" s="46" t="n">
        <v>45703</v>
      </c>
      <c r="E648" s="47" t="s">
        <v>61</v>
      </c>
      <c r="F648" s="48" t="n">
        <v>116092.37</v>
      </c>
      <c r="G648" s="47" t="s">
        <v>53</v>
      </c>
      <c r="H648" s="47" t="s">
        <v>44</v>
      </c>
      <c r="I648" s="47" t="s">
        <v>132</v>
      </c>
      <c r="J648" s="47" t="s">
        <v>29</v>
      </c>
      <c r="K648" s="47" t="s">
        <v>34</v>
      </c>
    </row>
    <row r="649" customFormat="false" ht="15" hidden="false" customHeight="false" outlineLevel="0" collapsed="false">
      <c r="A649" s="0" t="s">
        <v>1292</v>
      </c>
      <c r="B649" s="0" t="s">
        <v>1293</v>
      </c>
      <c r="D649" s="46" t="n">
        <v>45787</v>
      </c>
      <c r="E649" s="47" t="s">
        <v>61</v>
      </c>
      <c r="F649" s="48" t="n">
        <v>93727.01</v>
      </c>
      <c r="G649" s="47" t="s">
        <v>53</v>
      </c>
      <c r="H649" s="47" t="s">
        <v>43</v>
      </c>
      <c r="I649" s="47" t="s">
        <v>102</v>
      </c>
      <c r="J649" s="47" t="s">
        <v>28</v>
      </c>
      <c r="K649" s="47" t="s">
        <v>34</v>
      </c>
    </row>
    <row r="650" customFormat="false" ht="15" hidden="false" customHeight="false" outlineLevel="0" collapsed="false">
      <c r="A650" s="0" t="s">
        <v>1294</v>
      </c>
      <c r="B650" s="0" t="s">
        <v>330</v>
      </c>
      <c r="D650" s="46" t="n">
        <v>45989</v>
      </c>
      <c r="E650" s="47" t="s">
        <v>60</v>
      </c>
      <c r="F650" s="48" t="n">
        <v>198539.05</v>
      </c>
      <c r="G650" s="47" t="s">
        <v>53</v>
      </c>
      <c r="H650" s="47" t="s">
        <v>43</v>
      </c>
      <c r="I650" s="47" t="s">
        <v>201</v>
      </c>
      <c r="J650" s="47" t="s">
        <v>28</v>
      </c>
      <c r="K650" s="47" t="s">
        <v>33</v>
      </c>
    </row>
    <row r="651" customFormat="false" ht="15" hidden="false" customHeight="false" outlineLevel="0" collapsed="false">
      <c r="A651" s="0" t="s">
        <v>1295</v>
      </c>
      <c r="B651" s="0" t="s">
        <v>1296</v>
      </c>
      <c r="D651" s="46" t="n">
        <v>45727</v>
      </c>
      <c r="E651" s="47" t="s">
        <v>58</v>
      </c>
      <c r="F651" s="48" t="n">
        <v>14698.8</v>
      </c>
      <c r="G651" s="47" t="s">
        <v>53</v>
      </c>
      <c r="H651" s="47" t="s">
        <v>41</v>
      </c>
      <c r="I651" s="47" t="s">
        <v>86</v>
      </c>
      <c r="J651" s="47" t="s">
        <v>28</v>
      </c>
      <c r="K651" s="47" t="s">
        <v>34</v>
      </c>
    </row>
    <row r="652" customFormat="false" ht="15" hidden="false" customHeight="false" outlineLevel="0" collapsed="false">
      <c r="A652" s="0" t="s">
        <v>1297</v>
      </c>
      <c r="B652" s="0" t="s">
        <v>1003</v>
      </c>
      <c r="D652" s="46" t="n">
        <v>46294</v>
      </c>
      <c r="E652" s="47" t="s">
        <v>62</v>
      </c>
      <c r="F652" s="48" t="n">
        <v>162041.6</v>
      </c>
      <c r="G652" s="47" t="s">
        <v>65</v>
      </c>
      <c r="H652" s="47" t="s">
        <v>40</v>
      </c>
      <c r="I652" s="47" t="s">
        <v>89</v>
      </c>
      <c r="J652" s="47" t="s">
        <v>28</v>
      </c>
      <c r="K652" s="47" t="s">
        <v>34</v>
      </c>
    </row>
    <row r="653" customFormat="false" ht="15" hidden="false" customHeight="false" outlineLevel="0" collapsed="false">
      <c r="A653" s="0" t="s">
        <v>1298</v>
      </c>
      <c r="B653" s="0" t="s">
        <v>397</v>
      </c>
      <c r="D653" s="46" t="n">
        <v>45959</v>
      </c>
      <c r="E653" s="47" t="s">
        <v>61</v>
      </c>
      <c r="F653" s="48" t="n">
        <v>197392.51</v>
      </c>
      <c r="G653" s="47" t="s">
        <v>57</v>
      </c>
      <c r="H653" s="47" t="s">
        <v>42</v>
      </c>
      <c r="I653" s="47" t="s">
        <v>398</v>
      </c>
      <c r="J653" s="47" t="s">
        <v>28</v>
      </c>
      <c r="K653" s="47" t="s">
        <v>34</v>
      </c>
    </row>
    <row r="654" customFormat="false" ht="15" hidden="false" customHeight="false" outlineLevel="0" collapsed="false">
      <c r="A654" s="0" t="s">
        <v>1299</v>
      </c>
      <c r="B654" s="0" t="s">
        <v>520</v>
      </c>
      <c r="C654" s="0" t="s">
        <v>1300</v>
      </c>
      <c r="D654" s="46" t="n">
        <v>45715</v>
      </c>
      <c r="E654" s="47" t="s">
        <v>55</v>
      </c>
      <c r="F654" s="48" t="n">
        <v>155606.17</v>
      </c>
      <c r="G654" s="47" t="s">
        <v>68</v>
      </c>
      <c r="H654" s="47" t="s">
        <v>47</v>
      </c>
      <c r="I654" s="47" t="s">
        <v>108</v>
      </c>
      <c r="J654" s="47" t="s">
        <v>29</v>
      </c>
      <c r="K654" s="47" t="s">
        <v>33</v>
      </c>
    </row>
    <row r="655" customFormat="false" ht="15" hidden="false" customHeight="false" outlineLevel="0" collapsed="false">
      <c r="A655" s="0" t="s">
        <v>1301</v>
      </c>
      <c r="B655" s="0" t="s">
        <v>252</v>
      </c>
      <c r="C655" s="0" t="s">
        <v>1302</v>
      </c>
      <c r="D655" s="46" t="n">
        <v>45998</v>
      </c>
      <c r="E655" s="47" t="s">
        <v>61</v>
      </c>
      <c r="F655" s="48" t="n">
        <v>57635.21</v>
      </c>
      <c r="G655" s="47" t="s">
        <v>65</v>
      </c>
      <c r="H655" s="47" t="s">
        <v>40</v>
      </c>
      <c r="I655" s="47" t="s">
        <v>253</v>
      </c>
      <c r="J655" s="47" t="s">
        <v>28</v>
      </c>
      <c r="K655" s="47" t="s">
        <v>33</v>
      </c>
    </row>
    <row r="656" customFormat="false" ht="15" hidden="false" customHeight="false" outlineLevel="0" collapsed="false">
      <c r="A656" s="0" t="s">
        <v>1303</v>
      </c>
      <c r="B656" s="0" t="s">
        <v>777</v>
      </c>
      <c r="D656" s="46" t="n">
        <v>46038</v>
      </c>
      <c r="E656" s="47" t="s">
        <v>58</v>
      </c>
      <c r="F656" s="48" t="n">
        <v>129522.06</v>
      </c>
      <c r="G656" s="47" t="s">
        <v>66</v>
      </c>
      <c r="H656" s="47" t="s">
        <v>39</v>
      </c>
      <c r="I656" s="47" t="s">
        <v>177</v>
      </c>
      <c r="J656" s="47" t="s">
        <v>28</v>
      </c>
      <c r="K656" s="47" t="s">
        <v>33</v>
      </c>
    </row>
    <row r="657" customFormat="false" ht="15" hidden="false" customHeight="false" outlineLevel="0" collapsed="false">
      <c r="A657" s="0" t="s">
        <v>1304</v>
      </c>
      <c r="B657" s="0" t="s">
        <v>1305</v>
      </c>
      <c r="D657" s="46" t="n">
        <v>45829</v>
      </c>
      <c r="E657" s="47" t="s">
        <v>61</v>
      </c>
      <c r="F657" s="48" t="n">
        <v>95090.91</v>
      </c>
      <c r="G657" s="47" t="s">
        <v>68</v>
      </c>
      <c r="H657" s="47" t="s">
        <v>43</v>
      </c>
      <c r="I657" s="47" t="s">
        <v>201</v>
      </c>
      <c r="J657" s="47" t="s">
        <v>28</v>
      </c>
      <c r="K657" s="47" t="s">
        <v>33</v>
      </c>
    </row>
    <row r="658" customFormat="false" ht="15" hidden="false" customHeight="false" outlineLevel="0" collapsed="false">
      <c r="A658" s="0" t="s">
        <v>1306</v>
      </c>
      <c r="B658" s="0" t="s">
        <v>814</v>
      </c>
      <c r="D658" s="46" t="n">
        <v>46222</v>
      </c>
      <c r="E658" s="47" t="s">
        <v>61</v>
      </c>
      <c r="F658" s="48" t="n">
        <v>134249.83</v>
      </c>
      <c r="G658" s="47" t="s">
        <v>68</v>
      </c>
      <c r="H658" s="47" t="s">
        <v>41</v>
      </c>
      <c r="I658" s="47" t="s">
        <v>293</v>
      </c>
      <c r="J658" s="47" t="s">
        <v>28</v>
      </c>
      <c r="K658" s="47" t="s">
        <v>34</v>
      </c>
    </row>
    <row r="659" customFormat="false" ht="15" hidden="false" customHeight="false" outlineLevel="0" collapsed="false">
      <c r="A659" s="0" t="s">
        <v>1307</v>
      </c>
      <c r="B659" s="0" t="s">
        <v>1308</v>
      </c>
      <c r="C659" s="0" t="s">
        <v>1309</v>
      </c>
      <c r="D659" s="46" t="n">
        <v>46097</v>
      </c>
      <c r="E659" s="47" t="s">
        <v>55</v>
      </c>
      <c r="F659" s="48" t="n">
        <v>95028.01</v>
      </c>
      <c r="G659" s="47" t="s">
        <v>65</v>
      </c>
      <c r="H659" s="47" t="s">
        <v>48</v>
      </c>
      <c r="I659" s="47" t="s">
        <v>111</v>
      </c>
      <c r="J659" s="47" t="s">
        <v>28</v>
      </c>
      <c r="K659" s="47" t="s">
        <v>33</v>
      </c>
    </row>
    <row r="660" customFormat="false" ht="15" hidden="false" customHeight="false" outlineLevel="0" collapsed="false">
      <c r="A660" s="0" t="s">
        <v>1310</v>
      </c>
      <c r="B660" s="0" t="s">
        <v>1311</v>
      </c>
      <c r="D660" s="46" t="n">
        <v>46024</v>
      </c>
      <c r="E660" s="47" t="s">
        <v>62</v>
      </c>
      <c r="F660" s="48" t="n">
        <v>173529.62</v>
      </c>
      <c r="G660" s="47" t="s">
        <v>66</v>
      </c>
      <c r="H660" s="47" t="s">
        <v>45</v>
      </c>
      <c r="I660" s="47" t="s">
        <v>151</v>
      </c>
      <c r="J660" s="47" t="s">
        <v>28</v>
      </c>
      <c r="K660" s="47" t="s">
        <v>33</v>
      </c>
    </row>
    <row r="661" customFormat="false" ht="15" hidden="false" customHeight="false" outlineLevel="0" collapsed="false">
      <c r="A661" s="0" t="s">
        <v>1312</v>
      </c>
      <c r="B661" s="0" t="s">
        <v>168</v>
      </c>
      <c r="D661" s="46" t="n">
        <v>45868</v>
      </c>
      <c r="E661" s="47" t="s">
        <v>53</v>
      </c>
      <c r="F661" s="48" t="n">
        <v>66366.38</v>
      </c>
      <c r="G661" s="47" t="s">
        <v>57</v>
      </c>
      <c r="H661" s="47" t="s">
        <v>43</v>
      </c>
      <c r="I661" s="47" t="s">
        <v>117</v>
      </c>
      <c r="J661" s="47" t="s">
        <v>28</v>
      </c>
      <c r="K661" s="47" t="s">
        <v>33</v>
      </c>
    </row>
    <row r="662" customFormat="false" ht="15" hidden="false" customHeight="false" outlineLevel="0" collapsed="false">
      <c r="A662" s="0" t="s">
        <v>1313</v>
      </c>
      <c r="B662" s="0" t="s">
        <v>818</v>
      </c>
      <c r="D662" s="46" t="n">
        <v>45772</v>
      </c>
      <c r="E662" s="47" t="s">
        <v>53</v>
      </c>
      <c r="F662" s="48" t="n">
        <v>66946.83</v>
      </c>
      <c r="G662" s="47" t="s">
        <v>65</v>
      </c>
      <c r="H662" s="47" t="s">
        <v>42</v>
      </c>
      <c r="I662" s="47" t="s">
        <v>137</v>
      </c>
      <c r="J662" s="47" t="s">
        <v>28</v>
      </c>
      <c r="K662" s="47" t="s">
        <v>33</v>
      </c>
    </row>
    <row r="663" customFormat="false" ht="15" hidden="false" customHeight="false" outlineLevel="0" collapsed="false">
      <c r="A663" s="0" t="s">
        <v>1314</v>
      </c>
      <c r="B663" s="0" t="s">
        <v>1315</v>
      </c>
      <c r="D663" s="46" t="n">
        <v>46098</v>
      </c>
      <c r="E663" s="47" t="s">
        <v>62</v>
      </c>
      <c r="F663" s="48" t="n">
        <v>118258.89</v>
      </c>
      <c r="G663" s="47" t="s">
        <v>65</v>
      </c>
      <c r="H663" s="47" t="s">
        <v>42</v>
      </c>
      <c r="I663" s="47" t="s">
        <v>105</v>
      </c>
      <c r="J663" s="47" t="s">
        <v>28</v>
      </c>
      <c r="K663" s="47" t="s">
        <v>34</v>
      </c>
    </row>
    <row r="664" customFormat="false" ht="15" hidden="false" customHeight="false" outlineLevel="0" collapsed="false">
      <c r="A664" s="0" t="s">
        <v>1316</v>
      </c>
      <c r="B664" s="0" t="s">
        <v>1016</v>
      </c>
      <c r="D664" s="46" t="n">
        <v>45778</v>
      </c>
      <c r="E664" s="47" t="s">
        <v>53</v>
      </c>
      <c r="F664" s="48" t="n">
        <v>103330.02</v>
      </c>
      <c r="G664" s="47" t="s">
        <v>65</v>
      </c>
      <c r="H664" s="47" t="s">
        <v>47</v>
      </c>
      <c r="I664" s="47" t="s">
        <v>108</v>
      </c>
      <c r="J664" s="47" t="s">
        <v>28</v>
      </c>
      <c r="K664" s="47" t="s">
        <v>34</v>
      </c>
    </row>
    <row r="665" customFormat="false" ht="15" hidden="false" customHeight="false" outlineLevel="0" collapsed="false">
      <c r="A665" s="0" t="s">
        <v>1317</v>
      </c>
      <c r="B665" s="0" t="s">
        <v>221</v>
      </c>
      <c r="C665" s="0" t="s">
        <v>1318</v>
      </c>
      <c r="D665" s="46" t="n">
        <v>46010</v>
      </c>
      <c r="E665" s="47" t="s">
        <v>61</v>
      </c>
      <c r="F665" s="48" t="n">
        <v>264.11</v>
      </c>
      <c r="G665" s="47" t="s">
        <v>66</v>
      </c>
      <c r="H665" s="47" t="s">
        <v>44</v>
      </c>
      <c r="I665" s="47" t="s">
        <v>80</v>
      </c>
      <c r="J665" s="47" t="s">
        <v>29</v>
      </c>
      <c r="K665" s="47" t="s">
        <v>33</v>
      </c>
    </row>
    <row r="666" customFormat="false" ht="15" hidden="false" customHeight="false" outlineLevel="0" collapsed="false">
      <c r="A666" s="0" t="s">
        <v>1319</v>
      </c>
      <c r="B666" s="0" t="s">
        <v>1320</v>
      </c>
      <c r="D666" s="46" t="n">
        <v>46182</v>
      </c>
      <c r="E666" s="47" t="s">
        <v>58</v>
      </c>
      <c r="F666" s="48" t="n">
        <v>3201.91</v>
      </c>
      <c r="G666" s="47" t="s">
        <v>65</v>
      </c>
      <c r="H666" s="47" t="s">
        <v>44</v>
      </c>
      <c r="I666" s="47" t="s">
        <v>80</v>
      </c>
      <c r="J666" s="47" t="s">
        <v>28</v>
      </c>
      <c r="K666" s="47" t="s">
        <v>34</v>
      </c>
    </row>
    <row r="667" customFormat="false" ht="15" hidden="false" customHeight="false" outlineLevel="0" collapsed="false">
      <c r="A667" s="0" t="s">
        <v>1321</v>
      </c>
      <c r="B667" s="0" t="s">
        <v>100</v>
      </c>
      <c r="D667" s="46" t="n">
        <v>45723</v>
      </c>
      <c r="E667" s="47" t="s">
        <v>60</v>
      </c>
      <c r="F667" s="48" t="n">
        <v>103107.07</v>
      </c>
      <c r="G667" s="47" t="s">
        <v>65</v>
      </c>
      <c r="H667" s="47" t="s">
        <v>43</v>
      </c>
      <c r="I667" s="47" t="s">
        <v>102</v>
      </c>
      <c r="J667" s="47" t="s">
        <v>28</v>
      </c>
      <c r="K667" s="47" t="s">
        <v>34</v>
      </c>
    </row>
    <row r="668" customFormat="false" ht="15" hidden="false" customHeight="false" outlineLevel="0" collapsed="false">
      <c r="A668" s="0" t="s">
        <v>1322</v>
      </c>
      <c r="B668" s="0" t="s">
        <v>1323</v>
      </c>
      <c r="D668" s="46" t="n">
        <v>45961</v>
      </c>
      <c r="E668" s="47" t="s">
        <v>59</v>
      </c>
      <c r="F668" s="48" t="n">
        <v>127524.3</v>
      </c>
      <c r="G668" s="47" t="s">
        <v>66</v>
      </c>
      <c r="H668" s="47" t="s">
        <v>45</v>
      </c>
      <c r="I668" s="47" t="s">
        <v>151</v>
      </c>
      <c r="J668" s="47" t="s">
        <v>28</v>
      </c>
      <c r="K668" s="47" t="s">
        <v>34</v>
      </c>
    </row>
    <row r="669" customFormat="false" ht="15" hidden="false" customHeight="false" outlineLevel="0" collapsed="false">
      <c r="A669" s="0" t="s">
        <v>1324</v>
      </c>
      <c r="B669" s="0" t="s">
        <v>991</v>
      </c>
      <c r="D669" s="46" t="n">
        <v>46028</v>
      </c>
      <c r="E669" s="47" t="s">
        <v>62</v>
      </c>
      <c r="F669" s="48" t="n">
        <v>167227.06</v>
      </c>
      <c r="G669" s="47" t="s">
        <v>66</v>
      </c>
      <c r="H669" s="47" t="s">
        <v>47</v>
      </c>
      <c r="I669" s="47" t="s">
        <v>245</v>
      </c>
      <c r="J669" s="47" t="s">
        <v>28</v>
      </c>
      <c r="K669" s="47" t="s">
        <v>33</v>
      </c>
    </row>
    <row r="670" customFormat="false" ht="15" hidden="false" customHeight="false" outlineLevel="0" collapsed="false">
      <c r="A670" s="0" t="s">
        <v>1325</v>
      </c>
      <c r="B670" s="0" t="s">
        <v>250</v>
      </c>
      <c r="D670" s="46" t="n">
        <v>45933</v>
      </c>
      <c r="E670" s="47" t="s">
        <v>60</v>
      </c>
      <c r="F670" s="48" t="n">
        <v>178567.4</v>
      </c>
      <c r="G670" s="47" t="s">
        <v>68</v>
      </c>
      <c r="H670" s="47" t="s">
        <v>39</v>
      </c>
      <c r="I670" s="47" t="s">
        <v>177</v>
      </c>
      <c r="J670" s="47" t="s">
        <v>28</v>
      </c>
      <c r="K670" s="47" t="s">
        <v>33</v>
      </c>
    </row>
    <row r="671" customFormat="false" ht="15" hidden="false" customHeight="false" outlineLevel="0" collapsed="false">
      <c r="A671" s="0" t="s">
        <v>1326</v>
      </c>
      <c r="B671" s="0" t="s">
        <v>590</v>
      </c>
      <c r="D671" s="46" t="n">
        <v>45955</v>
      </c>
      <c r="E671" s="47" t="s">
        <v>59</v>
      </c>
      <c r="F671" s="48" t="n">
        <v>142103.34</v>
      </c>
      <c r="G671" s="47" t="s">
        <v>68</v>
      </c>
      <c r="H671" s="47" t="s">
        <v>44</v>
      </c>
      <c r="I671" s="47" t="s">
        <v>226</v>
      </c>
      <c r="J671" s="47" t="s">
        <v>28</v>
      </c>
      <c r="K671" s="47" t="s">
        <v>33</v>
      </c>
    </row>
    <row r="672" customFormat="false" ht="15" hidden="false" customHeight="false" outlineLevel="0" collapsed="false">
      <c r="A672" s="0" t="s">
        <v>1327</v>
      </c>
      <c r="B672" s="0" t="s">
        <v>384</v>
      </c>
      <c r="D672" s="46" t="n">
        <v>45690</v>
      </c>
      <c r="E672" s="47" t="s">
        <v>53</v>
      </c>
      <c r="F672" s="48" t="n">
        <v>180927.14</v>
      </c>
      <c r="G672" s="47" t="s">
        <v>68</v>
      </c>
      <c r="H672" s="47" t="s">
        <v>47</v>
      </c>
      <c r="I672" s="47" t="s">
        <v>245</v>
      </c>
      <c r="J672" s="47" t="s">
        <v>30</v>
      </c>
      <c r="K672" s="47" t="s">
        <v>33</v>
      </c>
    </row>
    <row r="673" customFormat="false" ht="15" hidden="false" customHeight="false" outlineLevel="0" collapsed="false">
      <c r="A673" s="0" t="s">
        <v>1328</v>
      </c>
      <c r="B673" s="0" t="s">
        <v>1329</v>
      </c>
      <c r="D673" s="46" t="n">
        <v>46027</v>
      </c>
      <c r="E673" s="47" t="s">
        <v>59</v>
      </c>
      <c r="F673" s="48" t="n">
        <v>88611.46</v>
      </c>
      <c r="G673" s="47" t="s">
        <v>65</v>
      </c>
      <c r="H673" s="47" t="s">
        <v>45</v>
      </c>
      <c r="I673" s="47" t="s">
        <v>151</v>
      </c>
      <c r="J673" s="47" t="s">
        <v>28</v>
      </c>
      <c r="K673" s="47" t="s">
        <v>33</v>
      </c>
    </row>
    <row r="674" customFormat="false" ht="15" hidden="false" customHeight="false" outlineLevel="0" collapsed="false">
      <c r="A674" s="0" t="s">
        <v>1330</v>
      </c>
      <c r="B674" s="0" t="s">
        <v>297</v>
      </c>
      <c r="C674" s="0" t="s">
        <v>1331</v>
      </c>
      <c r="D674" s="46" t="n">
        <v>45898</v>
      </c>
      <c r="E674" s="47" t="s">
        <v>55</v>
      </c>
      <c r="F674" s="48" t="n">
        <v>184912.62</v>
      </c>
      <c r="G674" s="47" t="s">
        <v>65</v>
      </c>
      <c r="H674" s="47" t="s">
        <v>39</v>
      </c>
      <c r="I674" s="47" t="s">
        <v>145</v>
      </c>
      <c r="J674" s="47" t="s">
        <v>28</v>
      </c>
      <c r="K674" s="47" t="s">
        <v>34</v>
      </c>
    </row>
    <row r="675" customFormat="false" ht="15" hidden="false" customHeight="false" outlineLevel="0" collapsed="false">
      <c r="A675" s="0" t="s">
        <v>1332</v>
      </c>
      <c r="B675" s="0" t="s">
        <v>747</v>
      </c>
      <c r="C675" s="0" t="s">
        <v>1333</v>
      </c>
      <c r="D675" s="46" t="n">
        <v>46060</v>
      </c>
      <c r="E675" s="47" t="s">
        <v>55</v>
      </c>
      <c r="F675" s="48" t="n">
        <v>89855.16</v>
      </c>
      <c r="G675" s="47" t="s">
        <v>65</v>
      </c>
      <c r="H675" s="47" t="s">
        <v>48</v>
      </c>
      <c r="I675" s="47" t="s">
        <v>114</v>
      </c>
      <c r="J675" s="47" t="s">
        <v>28</v>
      </c>
      <c r="K675" s="47" t="s">
        <v>33</v>
      </c>
    </row>
    <row r="676" customFormat="false" ht="15" hidden="false" customHeight="false" outlineLevel="0" collapsed="false">
      <c r="A676" s="0" t="s">
        <v>1334</v>
      </c>
      <c r="B676" s="0" t="s">
        <v>1335</v>
      </c>
      <c r="C676" s="0" t="s">
        <v>1336</v>
      </c>
      <c r="D676" s="46" t="n">
        <v>45894</v>
      </c>
      <c r="E676" s="47" t="s">
        <v>58</v>
      </c>
      <c r="F676" s="48" t="n">
        <v>26287.51</v>
      </c>
      <c r="G676" s="47" t="s">
        <v>68</v>
      </c>
      <c r="H676" s="47" t="s">
        <v>42</v>
      </c>
      <c r="I676" s="47" t="s">
        <v>137</v>
      </c>
      <c r="J676" s="47" t="s">
        <v>28</v>
      </c>
      <c r="K676" s="47" t="s">
        <v>34</v>
      </c>
    </row>
    <row r="677" customFormat="false" ht="15" hidden="false" customHeight="false" outlineLevel="0" collapsed="false">
      <c r="A677" s="0" t="s">
        <v>1337</v>
      </c>
      <c r="B677" s="0" t="s">
        <v>1040</v>
      </c>
      <c r="D677" s="46" t="n">
        <v>46274</v>
      </c>
      <c r="E677" s="47" t="s">
        <v>55</v>
      </c>
      <c r="F677" s="48" t="n">
        <v>12209.7</v>
      </c>
      <c r="G677" s="47" t="s">
        <v>66</v>
      </c>
      <c r="H677" s="47" t="s">
        <v>41</v>
      </c>
      <c r="I677" s="47" t="s">
        <v>293</v>
      </c>
      <c r="J677" s="47" t="s">
        <v>28</v>
      </c>
      <c r="K677" s="47" t="s">
        <v>34</v>
      </c>
    </row>
    <row r="678" customFormat="false" ht="15" hidden="false" customHeight="false" outlineLevel="0" collapsed="false">
      <c r="A678" s="0" t="s">
        <v>1338</v>
      </c>
      <c r="B678" s="0" t="s">
        <v>833</v>
      </c>
      <c r="D678" s="46" t="n">
        <v>45922</v>
      </c>
      <c r="E678" s="47" t="s">
        <v>61</v>
      </c>
      <c r="F678" s="48" t="n">
        <v>156848.24</v>
      </c>
      <c r="G678" s="47" t="s">
        <v>68</v>
      </c>
      <c r="H678" s="47" t="s">
        <v>39</v>
      </c>
      <c r="I678" s="47" t="s">
        <v>177</v>
      </c>
      <c r="J678" s="47" t="s">
        <v>28</v>
      </c>
      <c r="K678" s="47" t="s">
        <v>33</v>
      </c>
    </row>
    <row r="679" customFormat="false" ht="15" hidden="false" customHeight="false" outlineLevel="0" collapsed="false">
      <c r="A679" s="0" t="s">
        <v>1339</v>
      </c>
      <c r="B679" s="0" t="s">
        <v>1340</v>
      </c>
      <c r="D679" s="46" t="n">
        <v>45755</v>
      </c>
      <c r="E679" s="47" t="s">
        <v>59</v>
      </c>
      <c r="F679" s="48" t="n">
        <v>167710.87</v>
      </c>
      <c r="G679" s="47" t="s">
        <v>66</v>
      </c>
      <c r="H679" s="47" t="s">
        <v>39</v>
      </c>
      <c r="I679" s="47" t="s">
        <v>98</v>
      </c>
      <c r="J679" s="47" t="s">
        <v>28</v>
      </c>
      <c r="K679" s="47" t="s">
        <v>33</v>
      </c>
    </row>
    <row r="680" customFormat="false" ht="15" hidden="false" customHeight="false" outlineLevel="0" collapsed="false">
      <c r="A680" s="0" t="s">
        <v>1341</v>
      </c>
      <c r="B680" s="0" t="s">
        <v>107</v>
      </c>
      <c r="C680" s="0" t="s">
        <v>1342</v>
      </c>
      <c r="D680" s="46" t="n">
        <v>46086</v>
      </c>
      <c r="E680" s="47" t="s">
        <v>61</v>
      </c>
      <c r="F680" s="48" t="n">
        <v>114654.99</v>
      </c>
      <c r="G680" s="47" t="s">
        <v>53</v>
      </c>
      <c r="H680" s="47" t="s">
        <v>47</v>
      </c>
      <c r="I680" s="47" t="s">
        <v>108</v>
      </c>
      <c r="J680" s="47" t="s">
        <v>28</v>
      </c>
      <c r="K680" s="47" t="s">
        <v>34</v>
      </c>
    </row>
    <row r="681" customFormat="false" ht="15" hidden="false" customHeight="false" outlineLevel="0" collapsed="false">
      <c r="A681" s="0" t="s">
        <v>1343</v>
      </c>
      <c r="B681" s="0" t="s">
        <v>107</v>
      </c>
      <c r="D681" s="46" t="n">
        <v>45660</v>
      </c>
      <c r="E681" s="47" t="s">
        <v>60</v>
      </c>
      <c r="F681" s="48" t="n">
        <v>177801.27</v>
      </c>
      <c r="G681" s="47" t="s">
        <v>68</v>
      </c>
      <c r="H681" s="47" t="s">
        <v>47</v>
      </c>
      <c r="I681" s="47" t="s">
        <v>108</v>
      </c>
      <c r="J681" s="47" t="s">
        <v>28</v>
      </c>
      <c r="K681" s="47" t="s">
        <v>34</v>
      </c>
    </row>
    <row r="682" customFormat="false" ht="15" hidden="false" customHeight="false" outlineLevel="0" collapsed="false">
      <c r="A682" s="0" t="s">
        <v>1344</v>
      </c>
      <c r="B682" s="0" t="s">
        <v>940</v>
      </c>
      <c r="D682" s="46" t="n">
        <v>45801</v>
      </c>
      <c r="E682" s="47" t="s">
        <v>55</v>
      </c>
      <c r="F682" s="48" t="n">
        <v>64280.94</v>
      </c>
      <c r="G682" s="47" t="s">
        <v>68</v>
      </c>
      <c r="H682" s="47" t="s">
        <v>48</v>
      </c>
      <c r="I682" s="47" t="s">
        <v>111</v>
      </c>
      <c r="J682" s="47" t="s">
        <v>28</v>
      </c>
      <c r="K682" s="47" t="s">
        <v>33</v>
      </c>
    </row>
    <row r="683" customFormat="false" ht="15" hidden="false" customHeight="false" outlineLevel="0" collapsed="false">
      <c r="A683" s="0" t="s">
        <v>1345</v>
      </c>
      <c r="B683" s="0" t="s">
        <v>837</v>
      </c>
      <c r="D683" s="46" t="n">
        <v>46111</v>
      </c>
      <c r="E683" s="47" t="s">
        <v>61</v>
      </c>
      <c r="F683" s="48" t="n">
        <v>29655.03</v>
      </c>
      <c r="G683" s="47" t="s">
        <v>53</v>
      </c>
      <c r="H683" s="47" t="s">
        <v>39</v>
      </c>
      <c r="I683" s="47" t="s">
        <v>177</v>
      </c>
      <c r="J683" s="47" t="s">
        <v>28</v>
      </c>
      <c r="K683" s="47" t="s">
        <v>34</v>
      </c>
    </row>
    <row r="684" customFormat="false" ht="15" hidden="false" customHeight="false" outlineLevel="0" collapsed="false">
      <c r="A684" s="0" t="s">
        <v>1346</v>
      </c>
      <c r="B684" s="0" t="s">
        <v>983</v>
      </c>
      <c r="D684" s="46" t="n">
        <v>45875</v>
      </c>
      <c r="E684" s="47" t="s">
        <v>55</v>
      </c>
      <c r="F684" s="48" t="n">
        <v>87224.57</v>
      </c>
      <c r="G684" s="47" t="s">
        <v>57</v>
      </c>
      <c r="H684" s="47" t="s">
        <v>47</v>
      </c>
      <c r="I684" s="47" t="s">
        <v>108</v>
      </c>
      <c r="J684" s="47" t="s">
        <v>28</v>
      </c>
      <c r="K684" s="47" t="s">
        <v>33</v>
      </c>
    </row>
    <row r="685" customFormat="false" ht="15" hidden="false" customHeight="false" outlineLevel="0" collapsed="false">
      <c r="A685" s="0" t="s">
        <v>1347</v>
      </c>
      <c r="B685" s="0" t="s">
        <v>1348</v>
      </c>
      <c r="D685" s="46" t="n">
        <v>45878</v>
      </c>
      <c r="E685" s="47" t="s">
        <v>55</v>
      </c>
      <c r="F685" s="48" t="n">
        <v>115119.99</v>
      </c>
      <c r="G685" s="47" t="s">
        <v>65</v>
      </c>
      <c r="H685" s="47" t="s">
        <v>42</v>
      </c>
      <c r="I685" s="47" t="s">
        <v>105</v>
      </c>
      <c r="J685" s="47" t="s">
        <v>28</v>
      </c>
      <c r="K685" s="47" t="s">
        <v>34</v>
      </c>
    </row>
    <row r="686" customFormat="false" ht="15" hidden="false" customHeight="false" outlineLevel="0" collapsed="false">
      <c r="A686" s="0" t="s">
        <v>1349</v>
      </c>
      <c r="B686" s="0" t="s">
        <v>1350</v>
      </c>
      <c r="D686" s="46" t="n">
        <v>45738</v>
      </c>
      <c r="E686" s="47" t="s">
        <v>62</v>
      </c>
      <c r="F686" s="48" t="n">
        <v>181159.96</v>
      </c>
      <c r="G686" s="47" t="s">
        <v>68</v>
      </c>
      <c r="H686" s="47" t="s">
        <v>40</v>
      </c>
      <c r="I686" s="47" t="s">
        <v>83</v>
      </c>
      <c r="J686" s="47" t="s">
        <v>28</v>
      </c>
      <c r="K686" s="47" t="s">
        <v>33</v>
      </c>
    </row>
    <row r="687" customFormat="false" ht="15" hidden="false" customHeight="false" outlineLevel="0" collapsed="false">
      <c r="A687" s="0" t="s">
        <v>1351</v>
      </c>
      <c r="B687" s="0" t="s">
        <v>1352</v>
      </c>
      <c r="D687" s="46" t="n">
        <v>46263</v>
      </c>
      <c r="E687" s="47" t="s">
        <v>58</v>
      </c>
      <c r="F687" s="48" t="n">
        <v>64371.62</v>
      </c>
      <c r="G687" s="47" t="s">
        <v>65</v>
      </c>
      <c r="H687" s="47" t="s">
        <v>45</v>
      </c>
      <c r="I687" s="47" t="s">
        <v>95</v>
      </c>
      <c r="J687" s="47" t="s">
        <v>28</v>
      </c>
      <c r="K687" s="47" t="s">
        <v>33</v>
      </c>
    </row>
    <row r="688" customFormat="false" ht="15" hidden="false" customHeight="false" outlineLevel="0" collapsed="false">
      <c r="A688" s="0" t="s">
        <v>1353</v>
      </c>
      <c r="B688" s="0" t="s">
        <v>1354</v>
      </c>
      <c r="D688" s="46" t="n">
        <v>46073</v>
      </c>
      <c r="E688" s="47" t="s">
        <v>60</v>
      </c>
      <c r="F688" s="48" t="n">
        <v>131234.44</v>
      </c>
      <c r="G688" s="47" t="s">
        <v>57</v>
      </c>
      <c r="H688" s="47" t="s">
        <v>46</v>
      </c>
      <c r="I688" s="47" t="s">
        <v>121</v>
      </c>
      <c r="J688" s="47" t="s">
        <v>29</v>
      </c>
      <c r="K688" s="47" t="s">
        <v>33</v>
      </c>
    </row>
    <row r="689" customFormat="false" ht="15" hidden="false" customHeight="false" outlineLevel="0" collapsed="false">
      <c r="A689" s="0" t="s">
        <v>1355</v>
      </c>
      <c r="B689" s="0" t="s">
        <v>1190</v>
      </c>
      <c r="D689" s="46" t="n">
        <v>45777</v>
      </c>
      <c r="E689" s="47" t="s">
        <v>60</v>
      </c>
      <c r="F689" s="48" t="n">
        <v>23337.34</v>
      </c>
      <c r="G689" s="47" t="s">
        <v>57</v>
      </c>
      <c r="H689" s="47" t="s">
        <v>45</v>
      </c>
      <c r="I689" s="47" t="s">
        <v>95</v>
      </c>
      <c r="J689" s="47" t="s">
        <v>28</v>
      </c>
      <c r="K689" s="47" t="s">
        <v>34</v>
      </c>
    </row>
    <row r="690" customFormat="false" ht="15" hidden="false" customHeight="false" outlineLevel="0" collapsed="false">
      <c r="A690" s="0" t="s">
        <v>1356</v>
      </c>
      <c r="B690" s="0" t="s">
        <v>1357</v>
      </c>
      <c r="D690" s="46" t="n">
        <v>45999</v>
      </c>
      <c r="E690" s="47" t="s">
        <v>55</v>
      </c>
      <c r="F690" s="48" t="n">
        <v>29586.26</v>
      </c>
      <c r="G690" s="47" t="s">
        <v>53</v>
      </c>
      <c r="H690" s="47" t="s">
        <v>46</v>
      </c>
      <c r="I690" s="47" t="s">
        <v>121</v>
      </c>
      <c r="J690" s="47" t="s">
        <v>28</v>
      </c>
      <c r="K690" s="47" t="s">
        <v>34</v>
      </c>
    </row>
    <row r="691" customFormat="false" ht="15" hidden="false" customHeight="false" outlineLevel="0" collapsed="false">
      <c r="A691" s="0" t="s">
        <v>1358</v>
      </c>
      <c r="B691" s="0" t="s">
        <v>1359</v>
      </c>
      <c r="D691" s="46" t="n">
        <v>45854</v>
      </c>
      <c r="E691" s="47" t="s">
        <v>61</v>
      </c>
      <c r="F691" s="48" t="n">
        <v>158790.42</v>
      </c>
      <c r="G691" s="47" t="s">
        <v>65</v>
      </c>
      <c r="H691" s="47" t="s">
        <v>46</v>
      </c>
      <c r="I691" s="47" t="s">
        <v>242</v>
      </c>
      <c r="J691" s="47" t="s">
        <v>28</v>
      </c>
      <c r="K691" s="47" t="s">
        <v>34</v>
      </c>
    </row>
    <row r="692" customFormat="false" ht="15" hidden="false" customHeight="false" outlineLevel="0" collapsed="false">
      <c r="A692" s="0" t="s">
        <v>1360</v>
      </c>
      <c r="B692" s="0" t="s">
        <v>1361</v>
      </c>
      <c r="D692" s="46" t="n">
        <v>46130</v>
      </c>
      <c r="E692" s="47" t="s">
        <v>62</v>
      </c>
      <c r="F692" s="48" t="n">
        <v>5704.58</v>
      </c>
      <c r="G692" s="47" t="s">
        <v>65</v>
      </c>
      <c r="H692" s="47" t="s">
        <v>46</v>
      </c>
      <c r="I692" s="47" t="s">
        <v>148</v>
      </c>
      <c r="J692" s="47" t="s">
        <v>28</v>
      </c>
      <c r="K692" s="47" t="s">
        <v>33</v>
      </c>
    </row>
    <row r="693" customFormat="false" ht="15" hidden="false" customHeight="false" outlineLevel="0" collapsed="false">
      <c r="A693" s="0" t="s">
        <v>1362</v>
      </c>
      <c r="B693" s="0" t="s">
        <v>344</v>
      </c>
      <c r="D693" s="46" t="n">
        <v>45717</v>
      </c>
      <c r="E693" s="47" t="s">
        <v>59</v>
      </c>
      <c r="F693" s="48" t="n">
        <v>65160.62</v>
      </c>
      <c r="G693" s="47" t="s">
        <v>57</v>
      </c>
      <c r="H693" s="47" t="s">
        <v>43</v>
      </c>
      <c r="I693" s="47" t="s">
        <v>117</v>
      </c>
      <c r="J693" s="47" t="s">
        <v>28</v>
      </c>
      <c r="K693" s="47" t="s">
        <v>33</v>
      </c>
    </row>
    <row r="694" customFormat="false" ht="15" hidden="false" customHeight="false" outlineLevel="0" collapsed="false">
      <c r="A694" s="0" t="s">
        <v>1363</v>
      </c>
      <c r="B694" s="0" t="s">
        <v>1364</v>
      </c>
      <c r="D694" s="46" t="n">
        <v>45864</v>
      </c>
      <c r="E694" s="47" t="s">
        <v>60</v>
      </c>
      <c r="F694" s="48" t="n">
        <v>114391.67</v>
      </c>
      <c r="G694" s="47" t="s">
        <v>53</v>
      </c>
      <c r="H694" s="47" t="s">
        <v>43</v>
      </c>
      <c r="I694" s="47" t="s">
        <v>102</v>
      </c>
      <c r="J694" s="47" t="s">
        <v>28</v>
      </c>
      <c r="K694" s="47" t="s">
        <v>33</v>
      </c>
    </row>
    <row r="695" customFormat="false" ht="15" hidden="false" customHeight="false" outlineLevel="0" collapsed="false">
      <c r="A695" s="0" t="s">
        <v>1365</v>
      </c>
      <c r="B695" s="0" t="s">
        <v>1366</v>
      </c>
      <c r="D695" s="46" t="n">
        <v>45838</v>
      </c>
      <c r="E695" s="47" t="s">
        <v>60</v>
      </c>
      <c r="F695" s="48" t="n">
        <v>76267.62</v>
      </c>
      <c r="G695" s="47" t="s">
        <v>66</v>
      </c>
      <c r="H695" s="47" t="s">
        <v>46</v>
      </c>
      <c r="I695" s="47" t="s">
        <v>148</v>
      </c>
      <c r="J695" s="47" t="s">
        <v>28</v>
      </c>
      <c r="K695" s="47" t="s">
        <v>33</v>
      </c>
    </row>
    <row r="696" customFormat="false" ht="15" hidden="false" customHeight="false" outlineLevel="0" collapsed="false">
      <c r="A696" s="0" t="s">
        <v>1367</v>
      </c>
      <c r="B696" s="0" t="s">
        <v>1368</v>
      </c>
      <c r="C696" s="0" t="s">
        <v>1369</v>
      </c>
      <c r="D696" s="46" t="n">
        <v>46155</v>
      </c>
      <c r="E696" s="47" t="s">
        <v>61</v>
      </c>
      <c r="F696" s="48" t="n">
        <v>54773.73</v>
      </c>
      <c r="G696" s="47" t="s">
        <v>65</v>
      </c>
      <c r="H696" s="47" t="s">
        <v>43</v>
      </c>
      <c r="I696" s="47" t="s">
        <v>102</v>
      </c>
      <c r="J696" s="47" t="s">
        <v>28</v>
      </c>
      <c r="K696" s="47" t="s">
        <v>34</v>
      </c>
    </row>
    <row r="697" customFormat="false" ht="15" hidden="false" customHeight="false" outlineLevel="0" collapsed="false">
      <c r="A697" s="0" t="s">
        <v>1370</v>
      </c>
      <c r="B697" s="0" t="s">
        <v>185</v>
      </c>
      <c r="C697" s="0" t="s">
        <v>186</v>
      </c>
      <c r="D697" s="46" t="n">
        <v>45855</v>
      </c>
      <c r="E697" s="47" t="s">
        <v>60</v>
      </c>
      <c r="F697" s="48" t="n">
        <v>152673.89</v>
      </c>
      <c r="G697" s="47" t="s">
        <v>65</v>
      </c>
      <c r="H697" s="47" t="s">
        <v>47</v>
      </c>
      <c r="I697" s="47" t="s">
        <v>166</v>
      </c>
      <c r="J697" s="47" t="s">
        <v>28</v>
      </c>
      <c r="K697" s="47" t="s">
        <v>33</v>
      </c>
    </row>
    <row r="698" customFormat="false" ht="15" hidden="false" customHeight="false" outlineLevel="0" collapsed="false">
      <c r="A698" s="0" t="s">
        <v>1371</v>
      </c>
      <c r="B698" s="0" t="s">
        <v>1372</v>
      </c>
      <c r="D698" s="46" t="n">
        <v>46069</v>
      </c>
      <c r="E698" s="47" t="s">
        <v>62</v>
      </c>
      <c r="F698" s="48" t="n">
        <v>27053.13</v>
      </c>
      <c r="G698" s="47" t="s">
        <v>68</v>
      </c>
      <c r="H698" s="47" t="s">
        <v>40</v>
      </c>
      <c r="I698" s="47" t="s">
        <v>89</v>
      </c>
      <c r="J698" s="47" t="s">
        <v>28</v>
      </c>
      <c r="K698" s="47" t="s">
        <v>33</v>
      </c>
    </row>
    <row r="699" customFormat="false" ht="15" hidden="false" customHeight="false" outlineLevel="0" collapsed="false">
      <c r="A699" s="0" t="s">
        <v>1373</v>
      </c>
      <c r="B699" s="0" t="s">
        <v>1374</v>
      </c>
      <c r="D699" s="46" t="n">
        <v>45659</v>
      </c>
      <c r="E699" s="47" t="s">
        <v>61</v>
      </c>
      <c r="F699" s="48" t="n">
        <v>81906.37</v>
      </c>
      <c r="G699" s="47" t="s">
        <v>68</v>
      </c>
      <c r="H699" s="47" t="s">
        <v>40</v>
      </c>
      <c r="I699" s="47" t="s">
        <v>83</v>
      </c>
      <c r="J699" s="47" t="s">
        <v>28</v>
      </c>
      <c r="K699" s="47" t="s">
        <v>34</v>
      </c>
    </row>
    <row r="700" customFormat="false" ht="15" hidden="false" customHeight="false" outlineLevel="0" collapsed="false">
      <c r="A700" s="0" t="s">
        <v>1375</v>
      </c>
      <c r="B700" s="0" t="s">
        <v>842</v>
      </c>
      <c r="D700" s="46" t="n">
        <v>45806</v>
      </c>
      <c r="E700" s="47" t="s">
        <v>53</v>
      </c>
      <c r="F700" s="48" t="n">
        <v>104050.24</v>
      </c>
      <c r="G700" s="47" t="s">
        <v>57</v>
      </c>
      <c r="H700" s="47" t="s">
        <v>48</v>
      </c>
      <c r="I700" s="47" t="s">
        <v>212</v>
      </c>
      <c r="J700" s="47" t="s">
        <v>29</v>
      </c>
      <c r="K700" s="47" t="s">
        <v>33</v>
      </c>
    </row>
    <row r="701" customFormat="false" ht="15" hidden="false" customHeight="false" outlineLevel="0" collapsed="false">
      <c r="A701" s="0" t="s">
        <v>1376</v>
      </c>
      <c r="B701" s="0" t="s">
        <v>1377</v>
      </c>
      <c r="D701" s="46" t="n">
        <v>46144</v>
      </c>
      <c r="E701" s="47" t="s">
        <v>55</v>
      </c>
      <c r="F701" s="48" t="n">
        <v>62780.15</v>
      </c>
      <c r="G701" s="47" t="s">
        <v>65</v>
      </c>
      <c r="H701" s="47" t="s">
        <v>42</v>
      </c>
      <c r="I701" s="47" t="s">
        <v>398</v>
      </c>
      <c r="J701" s="47" t="s">
        <v>28</v>
      </c>
      <c r="K701" s="47" t="s">
        <v>33</v>
      </c>
    </row>
    <row r="702" customFormat="false" ht="15" hidden="false" customHeight="false" outlineLevel="0" collapsed="false">
      <c r="A702" s="0" t="s">
        <v>1378</v>
      </c>
      <c r="B702" s="0" t="s">
        <v>1379</v>
      </c>
      <c r="C702" s="0" t="s">
        <v>1380</v>
      </c>
      <c r="D702" s="46" t="n">
        <v>46122</v>
      </c>
      <c r="E702" s="47" t="s">
        <v>59</v>
      </c>
      <c r="F702" s="48" t="n">
        <v>78080.39</v>
      </c>
      <c r="G702" s="47" t="s">
        <v>66</v>
      </c>
      <c r="H702" s="47" t="s">
        <v>48</v>
      </c>
      <c r="I702" s="47" t="s">
        <v>212</v>
      </c>
      <c r="J702" s="47" t="s">
        <v>28</v>
      </c>
      <c r="K702" s="47" t="s">
        <v>34</v>
      </c>
    </row>
    <row r="703" customFormat="false" ht="15" hidden="false" customHeight="false" outlineLevel="0" collapsed="false">
      <c r="A703" s="0" t="s">
        <v>1381</v>
      </c>
      <c r="B703" s="0" t="s">
        <v>1003</v>
      </c>
      <c r="D703" s="46" t="n">
        <v>45954</v>
      </c>
      <c r="E703" s="47" t="s">
        <v>60</v>
      </c>
      <c r="F703" s="48" t="n">
        <v>84369.49</v>
      </c>
      <c r="G703" s="47" t="s">
        <v>68</v>
      </c>
      <c r="H703" s="47" t="s">
        <v>40</v>
      </c>
      <c r="I703" s="47" t="s">
        <v>89</v>
      </c>
      <c r="J703" s="47" t="s">
        <v>28</v>
      </c>
      <c r="K703" s="47" t="s">
        <v>33</v>
      </c>
    </row>
    <row r="704" customFormat="false" ht="15" hidden="false" customHeight="false" outlineLevel="0" collapsed="false">
      <c r="A704" s="0" t="s">
        <v>1382</v>
      </c>
      <c r="B704" s="0" t="s">
        <v>326</v>
      </c>
      <c r="D704" s="46" t="n">
        <v>46181</v>
      </c>
      <c r="E704" s="47" t="s">
        <v>55</v>
      </c>
      <c r="F704" s="48" t="n">
        <v>6339.36</v>
      </c>
      <c r="G704" s="47" t="s">
        <v>68</v>
      </c>
      <c r="H704" s="47" t="s">
        <v>42</v>
      </c>
      <c r="I704" s="47" t="s">
        <v>137</v>
      </c>
      <c r="J704" s="47" t="s">
        <v>29</v>
      </c>
      <c r="K704" s="47" t="s">
        <v>34</v>
      </c>
    </row>
    <row r="705" customFormat="false" ht="15" hidden="false" customHeight="false" outlineLevel="0" collapsed="false">
      <c r="A705" s="0" t="s">
        <v>1383</v>
      </c>
      <c r="B705" s="0" t="s">
        <v>1083</v>
      </c>
      <c r="D705" s="46" t="n">
        <v>46030</v>
      </c>
      <c r="E705" s="47" t="s">
        <v>61</v>
      </c>
      <c r="F705" s="48" t="n">
        <v>41072.81</v>
      </c>
      <c r="G705" s="47" t="s">
        <v>68</v>
      </c>
      <c r="H705" s="47" t="s">
        <v>46</v>
      </c>
      <c r="I705" s="47" t="s">
        <v>148</v>
      </c>
      <c r="J705" s="47" t="s">
        <v>28</v>
      </c>
      <c r="K705" s="47" t="s">
        <v>33</v>
      </c>
    </row>
    <row r="706" customFormat="false" ht="15" hidden="false" customHeight="false" outlineLevel="0" collapsed="false">
      <c r="A706" s="0" t="s">
        <v>1384</v>
      </c>
      <c r="B706" s="0" t="s">
        <v>1385</v>
      </c>
      <c r="D706" s="46" t="n">
        <v>45969</v>
      </c>
      <c r="E706" s="47" t="s">
        <v>53</v>
      </c>
      <c r="F706" s="48" t="n">
        <v>101214.58</v>
      </c>
      <c r="G706" s="47" t="s">
        <v>65</v>
      </c>
      <c r="H706" s="47" t="s">
        <v>40</v>
      </c>
      <c r="I706" s="47" t="s">
        <v>83</v>
      </c>
      <c r="J706" s="47" t="s">
        <v>28</v>
      </c>
      <c r="K706" s="47" t="s">
        <v>34</v>
      </c>
    </row>
    <row r="707" customFormat="false" ht="15" hidden="false" customHeight="false" outlineLevel="0" collapsed="false">
      <c r="A707" s="0" t="s">
        <v>1386</v>
      </c>
      <c r="B707" s="0" t="s">
        <v>1387</v>
      </c>
      <c r="D707" s="46" t="n">
        <v>46084</v>
      </c>
      <c r="E707" s="47" t="s">
        <v>61</v>
      </c>
      <c r="F707" s="48" t="n">
        <v>121306.1</v>
      </c>
      <c r="G707" s="47" t="s">
        <v>65</v>
      </c>
      <c r="H707" s="47" t="s">
        <v>45</v>
      </c>
      <c r="I707" s="47" t="s">
        <v>217</v>
      </c>
      <c r="J707" s="47" t="s">
        <v>30</v>
      </c>
      <c r="K707" s="47" t="s">
        <v>33</v>
      </c>
    </row>
    <row r="708" customFormat="false" ht="15" hidden="false" customHeight="false" outlineLevel="0" collapsed="false">
      <c r="A708" s="0" t="s">
        <v>1388</v>
      </c>
      <c r="B708" s="0" t="s">
        <v>1389</v>
      </c>
      <c r="C708" s="0" t="s">
        <v>1390</v>
      </c>
      <c r="D708" s="46" t="n">
        <v>45826</v>
      </c>
      <c r="E708" s="47" t="s">
        <v>53</v>
      </c>
      <c r="F708" s="48" t="n">
        <v>169093.21</v>
      </c>
      <c r="G708" s="47" t="s">
        <v>53</v>
      </c>
      <c r="H708" s="47" t="s">
        <v>44</v>
      </c>
      <c r="I708" s="47" t="s">
        <v>132</v>
      </c>
      <c r="J708" s="47" t="s">
        <v>28</v>
      </c>
      <c r="K708" s="47" t="s">
        <v>33</v>
      </c>
    </row>
    <row r="709" customFormat="false" ht="15" hidden="false" customHeight="false" outlineLevel="0" collapsed="false">
      <c r="A709" s="0" t="s">
        <v>1391</v>
      </c>
      <c r="B709" s="0" t="s">
        <v>1392</v>
      </c>
      <c r="D709" s="46" t="n">
        <v>46136</v>
      </c>
      <c r="E709" s="47" t="s">
        <v>55</v>
      </c>
      <c r="F709" s="48" t="n">
        <v>115746.12</v>
      </c>
      <c r="G709" s="47" t="s">
        <v>66</v>
      </c>
      <c r="H709" s="47" t="s">
        <v>47</v>
      </c>
      <c r="I709" s="47" t="s">
        <v>166</v>
      </c>
      <c r="J709" s="47" t="s">
        <v>28</v>
      </c>
      <c r="K709" s="47" t="s">
        <v>34</v>
      </c>
    </row>
    <row r="710" customFormat="false" ht="15" hidden="false" customHeight="false" outlineLevel="0" collapsed="false">
      <c r="A710" s="0" t="s">
        <v>1393</v>
      </c>
      <c r="B710" s="0" t="s">
        <v>527</v>
      </c>
      <c r="D710" s="46" t="n">
        <v>46264</v>
      </c>
      <c r="E710" s="47" t="s">
        <v>61</v>
      </c>
      <c r="F710" s="48" t="n">
        <v>47022.26</v>
      </c>
      <c r="G710" s="47" t="s">
        <v>65</v>
      </c>
      <c r="H710" s="47" t="s">
        <v>47</v>
      </c>
      <c r="I710" s="47" t="s">
        <v>245</v>
      </c>
      <c r="J710" s="47" t="s">
        <v>28</v>
      </c>
      <c r="K710" s="47" t="s">
        <v>33</v>
      </c>
    </row>
    <row r="711" customFormat="false" ht="15" hidden="false" customHeight="false" outlineLevel="0" collapsed="false">
      <c r="A711" s="0" t="s">
        <v>1394</v>
      </c>
      <c r="B711" s="0" t="s">
        <v>255</v>
      </c>
      <c r="D711" s="46" t="n">
        <v>46058</v>
      </c>
      <c r="E711" s="47" t="s">
        <v>53</v>
      </c>
      <c r="F711" s="48" t="n">
        <v>192121.51</v>
      </c>
      <c r="G711" s="47" t="s">
        <v>65</v>
      </c>
      <c r="H711" s="47" t="s">
        <v>47</v>
      </c>
      <c r="I711" s="47" t="s">
        <v>166</v>
      </c>
      <c r="J711" s="47" t="s">
        <v>28</v>
      </c>
      <c r="K711" s="47" t="s">
        <v>34</v>
      </c>
    </row>
    <row r="712" customFormat="false" ht="15" hidden="false" customHeight="false" outlineLevel="0" collapsed="false">
      <c r="A712" s="0" t="s">
        <v>1395</v>
      </c>
      <c r="B712" s="0" t="s">
        <v>1396</v>
      </c>
      <c r="D712" s="46" t="n">
        <v>45664</v>
      </c>
      <c r="E712" s="47" t="s">
        <v>58</v>
      </c>
      <c r="F712" s="48" t="n">
        <v>31294.35</v>
      </c>
      <c r="G712" s="47" t="s">
        <v>66</v>
      </c>
      <c r="H712" s="47" t="s">
        <v>44</v>
      </c>
      <c r="I712" s="47" t="s">
        <v>132</v>
      </c>
      <c r="J712" s="47" t="s">
        <v>28</v>
      </c>
      <c r="K712" s="47" t="s">
        <v>33</v>
      </c>
    </row>
    <row r="713" customFormat="false" ht="15" hidden="false" customHeight="false" outlineLevel="0" collapsed="false">
      <c r="A713" s="0" t="s">
        <v>1397</v>
      </c>
      <c r="B713" s="0" t="s">
        <v>544</v>
      </c>
      <c r="D713" s="46" t="n">
        <v>45957</v>
      </c>
      <c r="E713" s="47" t="s">
        <v>58</v>
      </c>
      <c r="F713" s="48" t="n">
        <v>60151.12</v>
      </c>
      <c r="G713" s="47" t="s">
        <v>53</v>
      </c>
      <c r="H713" s="47" t="s">
        <v>44</v>
      </c>
      <c r="I713" s="47" t="s">
        <v>80</v>
      </c>
      <c r="J713" s="47" t="s">
        <v>29</v>
      </c>
      <c r="K713" s="47" t="s">
        <v>33</v>
      </c>
    </row>
    <row r="714" customFormat="false" ht="15" hidden="false" customHeight="false" outlineLevel="0" collapsed="false">
      <c r="A714" s="0" t="s">
        <v>1398</v>
      </c>
      <c r="B714" s="0" t="s">
        <v>1399</v>
      </c>
      <c r="D714" s="46" t="n">
        <v>45931</v>
      </c>
      <c r="E714" s="47" t="s">
        <v>53</v>
      </c>
      <c r="F714" s="48" t="n">
        <v>122217.82</v>
      </c>
      <c r="G714" s="47" t="s">
        <v>53</v>
      </c>
      <c r="H714" s="47" t="s">
        <v>45</v>
      </c>
      <c r="I714" s="47" t="s">
        <v>217</v>
      </c>
      <c r="J714" s="47" t="s">
        <v>28</v>
      </c>
      <c r="K714" s="47" t="s">
        <v>33</v>
      </c>
    </row>
    <row r="715" customFormat="false" ht="15" hidden="false" customHeight="false" outlineLevel="0" collapsed="false">
      <c r="A715" s="0" t="s">
        <v>1400</v>
      </c>
      <c r="B715" s="0" t="s">
        <v>1401</v>
      </c>
      <c r="D715" s="46" t="n">
        <v>45746</v>
      </c>
      <c r="E715" s="47" t="s">
        <v>62</v>
      </c>
      <c r="F715" s="48" t="n">
        <v>147622.45</v>
      </c>
      <c r="G715" s="47" t="s">
        <v>53</v>
      </c>
      <c r="H715" s="47" t="s">
        <v>47</v>
      </c>
      <c r="I715" s="47" t="s">
        <v>108</v>
      </c>
      <c r="J715" s="47" t="s">
        <v>28</v>
      </c>
      <c r="K715" s="47" t="s">
        <v>34</v>
      </c>
    </row>
    <row r="716" customFormat="false" ht="15" hidden="false" customHeight="false" outlineLevel="0" collapsed="false">
      <c r="A716" s="0" t="s">
        <v>1402</v>
      </c>
      <c r="B716" s="0" t="s">
        <v>1403</v>
      </c>
      <c r="D716" s="46" t="n">
        <v>45703</v>
      </c>
      <c r="E716" s="47" t="s">
        <v>60</v>
      </c>
      <c r="F716" s="48" t="n">
        <v>40066.25</v>
      </c>
      <c r="G716" s="47" t="s">
        <v>68</v>
      </c>
      <c r="H716" s="47" t="s">
        <v>47</v>
      </c>
      <c r="I716" s="47" t="s">
        <v>245</v>
      </c>
      <c r="J716" s="47" t="s">
        <v>28</v>
      </c>
      <c r="K716" s="47" t="s">
        <v>34</v>
      </c>
    </row>
    <row r="717" customFormat="false" ht="15" hidden="false" customHeight="false" outlineLevel="0" collapsed="false">
      <c r="A717" s="0" t="s">
        <v>1404</v>
      </c>
      <c r="B717" s="0" t="s">
        <v>1254</v>
      </c>
      <c r="D717" s="46" t="n">
        <v>45742</v>
      </c>
      <c r="E717" s="47" t="s">
        <v>58</v>
      </c>
      <c r="F717" s="48" t="n">
        <v>191078.42</v>
      </c>
      <c r="G717" s="47" t="s">
        <v>65</v>
      </c>
      <c r="H717" s="47" t="s">
        <v>44</v>
      </c>
      <c r="I717" s="47" t="s">
        <v>226</v>
      </c>
      <c r="J717" s="47" t="s">
        <v>28</v>
      </c>
      <c r="K717" s="47" t="s">
        <v>34</v>
      </c>
    </row>
    <row r="718" customFormat="false" ht="15" hidden="false" customHeight="false" outlineLevel="0" collapsed="false">
      <c r="A718" s="0" t="s">
        <v>1405</v>
      </c>
      <c r="B718" s="0" t="s">
        <v>1406</v>
      </c>
      <c r="D718" s="46" t="n">
        <v>46267</v>
      </c>
      <c r="E718" s="47" t="s">
        <v>53</v>
      </c>
      <c r="F718" s="48" t="n">
        <v>93373.66</v>
      </c>
      <c r="G718" s="47" t="s">
        <v>66</v>
      </c>
      <c r="H718" s="47" t="s">
        <v>40</v>
      </c>
      <c r="I718" s="47" t="s">
        <v>89</v>
      </c>
      <c r="J718" s="47" t="s">
        <v>28</v>
      </c>
      <c r="K718" s="47" t="s">
        <v>34</v>
      </c>
    </row>
    <row r="719" customFormat="false" ht="15" hidden="false" customHeight="false" outlineLevel="0" collapsed="false">
      <c r="A719" s="0" t="s">
        <v>1407</v>
      </c>
      <c r="B719" s="0" t="s">
        <v>1408</v>
      </c>
      <c r="C719" s="0" t="s">
        <v>1409</v>
      </c>
      <c r="D719" s="46" t="n">
        <v>45885</v>
      </c>
      <c r="E719" s="47" t="s">
        <v>59</v>
      </c>
      <c r="F719" s="48" t="n">
        <v>141004.8</v>
      </c>
      <c r="G719" s="47" t="s">
        <v>66</v>
      </c>
      <c r="H719" s="47" t="s">
        <v>46</v>
      </c>
      <c r="I719" s="47" t="s">
        <v>242</v>
      </c>
      <c r="J719" s="47" t="s">
        <v>28</v>
      </c>
      <c r="K719" s="47" t="s">
        <v>34</v>
      </c>
    </row>
    <row r="720" customFormat="false" ht="15" hidden="false" customHeight="false" outlineLevel="0" collapsed="false">
      <c r="A720" s="0" t="s">
        <v>1410</v>
      </c>
      <c r="B720" s="0" t="s">
        <v>1411</v>
      </c>
      <c r="D720" s="46" t="n">
        <v>46184</v>
      </c>
      <c r="E720" s="47" t="s">
        <v>61</v>
      </c>
      <c r="F720" s="48" t="n">
        <v>98472.35</v>
      </c>
      <c r="G720" s="47" t="s">
        <v>68</v>
      </c>
      <c r="H720" s="47" t="s">
        <v>43</v>
      </c>
      <c r="I720" s="47" t="s">
        <v>102</v>
      </c>
      <c r="J720" s="47" t="s">
        <v>28</v>
      </c>
      <c r="K720" s="47" t="s">
        <v>33</v>
      </c>
    </row>
    <row r="721" customFormat="false" ht="15" hidden="false" customHeight="false" outlineLevel="0" collapsed="false">
      <c r="A721" s="0" t="s">
        <v>1412</v>
      </c>
      <c r="B721" s="0" t="s">
        <v>515</v>
      </c>
      <c r="D721" s="46" t="n">
        <v>45729</v>
      </c>
      <c r="E721" s="47" t="s">
        <v>61</v>
      </c>
      <c r="F721" s="48" t="n">
        <v>96316.55</v>
      </c>
      <c r="G721" s="47" t="s">
        <v>66</v>
      </c>
      <c r="H721" s="47" t="s">
        <v>45</v>
      </c>
      <c r="I721" s="47" t="s">
        <v>95</v>
      </c>
      <c r="J721" s="47" t="s">
        <v>28</v>
      </c>
      <c r="K721" s="47" t="s">
        <v>33</v>
      </c>
    </row>
    <row r="722" customFormat="false" ht="15" hidden="false" customHeight="false" outlineLevel="0" collapsed="false">
      <c r="A722" s="0" t="s">
        <v>1413</v>
      </c>
      <c r="B722" s="0" t="s">
        <v>915</v>
      </c>
      <c r="D722" s="46" t="n">
        <v>45902</v>
      </c>
      <c r="E722" s="47" t="s">
        <v>59</v>
      </c>
      <c r="F722" s="48" t="n">
        <v>8434.45</v>
      </c>
      <c r="G722" s="47" t="s">
        <v>57</v>
      </c>
      <c r="H722" s="47" t="s">
        <v>47</v>
      </c>
      <c r="I722" s="47" t="s">
        <v>108</v>
      </c>
      <c r="J722" s="47" t="s">
        <v>28</v>
      </c>
      <c r="K722" s="47" t="s">
        <v>34</v>
      </c>
    </row>
    <row r="723" customFormat="false" ht="15" hidden="false" customHeight="false" outlineLevel="0" collapsed="false">
      <c r="A723" s="0" t="s">
        <v>1414</v>
      </c>
      <c r="B723" s="0" t="s">
        <v>1415</v>
      </c>
      <c r="D723" s="46" t="n">
        <v>46158</v>
      </c>
      <c r="E723" s="47" t="s">
        <v>53</v>
      </c>
      <c r="F723" s="48" t="n">
        <v>11219.86</v>
      </c>
      <c r="G723" s="47" t="s">
        <v>68</v>
      </c>
      <c r="H723" s="47" t="s">
        <v>45</v>
      </c>
      <c r="I723" s="47" t="s">
        <v>151</v>
      </c>
      <c r="J723" s="47" t="s">
        <v>28</v>
      </c>
      <c r="K723" s="47" t="s">
        <v>34</v>
      </c>
    </row>
    <row r="724" customFormat="false" ht="15" hidden="false" customHeight="false" outlineLevel="0" collapsed="false">
      <c r="A724" s="0" t="s">
        <v>1416</v>
      </c>
      <c r="B724" s="0" t="s">
        <v>1282</v>
      </c>
      <c r="D724" s="46" t="n">
        <v>45988</v>
      </c>
      <c r="E724" s="47" t="s">
        <v>55</v>
      </c>
      <c r="F724" s="48" t="n">
        <v>31933.02</v>
      </c>
      <c r="G724" s="47" t="s">
        <v>66</v>
      </c>
      <c r="H724" s="47" t="s">
        <v>44</v>
      </c>
      <c r="I724" s="47" t="s">
        <v>226</v>
      </c>
      <c r="J724" s="47" t="s">
        <v>28</v>
      </c>
      <c r="K724" s="47" t="s">
        <v>34</v>
      </c>
    </row>
    <row r="725" customFormat="false" ht="15" hidden="false" customHeight="false" outlineLevel="0" collapsed="false">
      <c r="A725" s="0" t="s">
        <v>1417</v>
      </c>
      <c r="B725" s="0" t="s">
        <v>887</v>
      </c>
      <c r="D725" s="46" t="n">
        <v>46253</v>
      </c>
      <c r="E725" s="47" t="s">
        <v>62</v>
      </c>
      <c r="F725" s="48" t="n">
        <v>134002.45</v>
      </c>
      <c r="G725" s="47" t="s">
        <v>57</v>
      </c>
      <c r="H725" s="47" t="s">
        <v>48</v>
      </c>
      <c r="I725" s="47" t="s">
        <v>212</v>
      </c>
      <c r="J725" s="47" t="s">
        <v>29</v>
      </c>
      <c r="K725" s="47" t="s">
        <v>33</v>
      </c>
    </row>
    <row r="726" customFormat="false" ht="15" hidden="false" customHeight="false" outlineLevel="0" collapsed="false">
      <c r="A726" s="0" t="s">
        <v>1418</v>
      </c>
      <c r="B726" s="0" t="s">
        <v>1379</v>
      </c>
      <c r="D726" s="46" t="n">
        <v>45970</v>
      </c>
      <c r="E726" s="47" t="s">
        <v>61</v>
      </c>
      <c r="F726" s="48" t="n">
        <v>139987.15</v>
      </c>
      <c r="G726" s="47" t="s">
        <v>66</v>
      </c>
      <c r="H726" s="47" t="s">
        <v>48</v>
      </c>
      <c r="I726" s="47" t="s">
        <v>212</v>
      </c>
      <c r="J726" s="47" t="s">
        <v>28</v>
      </c>
      <c r="K726" s="47" t="s">
        <v>34</v>
      </c>
    </row>
    <row r="727" customFormat="false" ht="15" hidden="false" customHeight="false" outlineLevel="0" collapsed="false">
      <c r="A727" s="0" t="s">
        <v>1419</v>
      </c>
      <c r="B727" s="0" t="s">
        <v>887</v>
      </c>
      <c r="D727" s="46" t="n">
        <v>45865</v>
      </c>
      <c r="E727" s="47" t="s">
        <v>58</v>
      </c>
      <c r="F727" s="48" t="n">
        <v>167299.35</v>
      </c>
      <c r="G727" s="47" t="s">
        <v>53</v>
      </c>
      <c r="H727" s="47" t="s">
        <v>48</v>
      </c>
      <c r="I727" s="47" t="s">
        <v>212</v>
      </c>
      <c r="J727" s="47" t="s">
        <v>28</v>
      </c>
      <c r="K727" s="47" t="s">
        <v>33</v>
      </c>
    </row>
    <row r="728" customFormat="false" ht="15" hidden="false" customHeight="false" outlineLevel="0" collapsed="false">
      <c r="A728" s="0" t="s">
        <v>1420</v>
      </c>
      <c r="B728" s="0" t="s">
        <v>846</v>
      </c>
      <c r="C728" s="0" t="s">
        <v>1421</v>
      </c>
      <c r="D728" s="46" t="n">
        <v>45867</v>
      </c>
      <c r="E728" s="47" t="s">
        <v>60</v>
      </c>
      <c r="F728" s="48" t="n">
        <v>166441.64</v>
      </c>
      <c r="G728" s="47" t="s">
        <v>66</v>
      </c>
      <c r="H728" s="47" t="s">
        <v>42</v>
      </c>
      <c r="I728" s="47" t="s">
        <v>398</v>
      </c>
      <c r="J728" s="47" t="s">
        <v>28</v>
      </c>
      <c r="K728" s="47" t="s">
        <v>34</v>
      </c>
    </row>
    <row r="729" customFormat="false" ht="15" hidden="false" customHeight="false" outlineLevel="0" collapsed="false">
      <c r="A729" s="0" t="s">
        <v>1422</v>
      </c>
      <c r="B729" s="0" t="s">
        <v>513</v>
      </c>
      <c r="D729" s="46" t="n">
        <v>46189</v>
      </c>
      <c r="E729" s="47" t="s">
        <v>55</v>
      </c>
      <c r="F729" s="48" t="n">
        <v>108787.82</v>
      </c>
      <c r="G729" s="47" t="s">
        <v>57</v>
      </c>
      <c r="H729" s="47" t="s">
        <v>44</v>
      </c>
      <c r="I729" s="47" t="s">
        <v>80</v>
      </c>
      <c r="J729" s="47" t="s">
        <v>28</v>
      </c>
      <c r="K729" s="47" t="s">
        <v>34</v>
      </c>
    </row>
    <row r="730" customFormat="false" ht="15" hidden="false" customHeight="false" outlineLevel="0" collapsed="false">
      <c r="A730" s="0" t="s">
        <v>1423</v>
      </c>
      <c r="B730" s="0" t="s">
        <v>1424</v>
      </c>
      <c r="D730" s="46" t="n">
        <v>45973</v>
      </c>
      <c r="E730" s="47" t="s">
        <v>62</v>
      </c>
      <c r="F730" s="48" t="n">
        <v>64216.1</v>
      </c>
      <c r="G730" s="47" t="s">
        <v>53</v>
      </c>
      <c r="H730" s="47" t="s">
        <v>48</v>
      </c>
      <c r="I730" s="47" t="s">
        <v>111</v>
      </c>
      <c r="J730" s="47" t="s">
        <v>28</v>
      </c>
      <c r="K730" s="47" t="s">
        <v>33</v>
      </c>
    </row>
    <row r="731" customFormat="false" ht="15" hidden="false" customHeight="false" outlineLevel="0" collapsed="false">
      <c r="A731" s="0" t="s">
        <v>1425</v>
      </c>
      <c r="B731" s="0" t="s">
        <v>1426</v>
      </c>
      <c r="D731" s="46" t="n">
        <v>45784</v>
      </c>
      <c r="E731" s="47" t="s">
        <v>55</v>
      </c>
      <c r="F731" s="48" t="n">
        <v>20034.73</v>
      </c>
      <c r="G731" s="47" t="s">
        <v>65</v>
      </c>
      <c r="H731" s="47" t="s">
        <v>45</v>
      </c>
      <c r="I731" s="47" t="s">
        <v>217</v>
      </c>
      <c r="J731" s="47" t="s">
        <v>28</v>
      </c>
      <c r="K731" s="47" t="s">
        <v>34</v>
      </c>
    </row>
    <row r="732" customFormat="false" ht="15" hidden="false" customHeight="false" outlineLevel="0" collapsed="false">
      <c r="A732" s="0" t="s">
        <v>1427</v>
      </c>
      <c r="B732" s="0" t="s">
        <v>931</v>
      </c>
      <c r="D732" s="46" t="n">
        <v>45995</v>
      </c>
      <c r="E732" s="47" t="s">
        <v>53</v>
      </c>
      <c r="F732" s="48" t="n">
        <v>25205.55</v>
      </c>
      <c r="G732" s="47" t="s">
        <v>66</v>
      </c>
      <c r="H732" s="47" t="s">
        <v>42</v>
      </c>
      <c r="I732" s="47" t="s">
        <v>105</v>
      </c>
      <c r="J732" s="47" t="s">
        <v>28</v>
      </c>
      <c r="K732" s="47" t="s">
        <v>34</v>
      </c>
    </row>
    <row r="733" customFormat="false" ht="15" hidden="false" customHeight="false" outlineLevel="0" collapsed="false">
      <c r="A733" s="0" t="s">
        <v>1428</v>
      </c>
      <c r="B733" s="0" t="s">
        <v>1429</v>
      </c>
      <c r="D733" s="46" t="n">
        <v>45769</v>
      </c>
      <c r="E733" s="47" t="s">
        <v>53</v>
      </c>
      <c r="F733" s="48" t="n">
        <v>27865.44</v>
      </c>
      <c r="G733" s="47" t="s">
        <v>57</v>
      </c>
      <c r="H733" s="47" t="s">
        <v>40</v>
      </c>
      <c r="I733" s="47" t="s">
        <v>83</v>
      </c>
      <c r="J733" s="47" t="s">
        <v>28</v>
      </c>
      <c r="K733" s="47" t="s">
        <v>34</v>
      </c>
    </row>
    <row r="734" customFormat="false" ht="15" hidden="false" customHeight="false" outlineLevel="0" collapsed="false">
      <c r="A734" s="0" t="s">
        <v>1430</v>
      </c>
      <c r="B734" s="0" t="s">
        <v>1226</v>
      </c>
      <c r="D734" s="46" t="n">
        <v>46284</v>
      </c>
      <c r="E734" s="47" t="s">
        <v>59</v>
      </c>
      <c r="F734" s="48" t="n">
        <v>170040.36</v>
      </c>
      <c r="G734" s="47" t="s">
        <v>65</v>
      </c>
      <c r="H734" s="47" t="s">
        <v>43</v>
      </c>
      <c r="I734" s="47" t="s">
        <v>117</v>
      </c>
      <c r="J734" s="47" t="s">
        <v>28</v>
      </c>
      <c r="K734" s="47" t="s">
        <v>33</v>
      </c>
    </row>
    <row r="735" customFormat="false" ht="15" hidden="false" customHeight="false" outlineLevel="0" collapsed="false">
      <c r="A735" s="0" t="s">
        <v>1431</v>
      </c>
      <c r="B735" s="0" t="s">
        <v>637</v>
      </c>
      <c r="D735" s="46" t="n">
        <v>45851</v>
      </c>
      <c r="E735" s="47" t="s">
        <v>62</v>
      </c>
      <c r="F735" s="48" t="n">
        <v>191595.5</v>
      </c>
      <c r="G735" s="47" t="s">
        <v>66</v>
      </c>
      <c r="H735" s="47" t="s">
        <v>42</v>
      </c>
      <c r="I735" s="47" t="s">
        <v>398</v>
      </c>
      <c r="J735" s="47" t="s">
        <v>28</v>
      </c>
      <c r="K735" s="47" t="s">
        <v>34</v>
      </c>
    </row>
    <row r="736" customFormat="false" ht="15" hidden="false" customHeight="false" outlineLevel="0" collapsed="false">
      <c r="A736" s="0" t="s">
        <v>1432</v>
      </c>
      <c r="B736" s="0" t="s">
        <v>301</v>
      </c>
      <c r="D736" s="46" t="n">
        <v>45970</v>
      </c>
      <c r="E736" s="47" t="s">
        <v>59</v>
      </c>
      <c r="F736" s="48" t="n">
        <v>1024.51</v>
      </c>
      <c r="G736" s="47" t="s">
        <v>57</v>
      </c>
      <c r="H736" s="47" t="s">
        <v>39</v>
      </c>
      <c r="I736" s="47" t="s">
        <v>177</v>
      </c>
      <c r="J736" s="47" t="s">
        <v>28</v>
      </c>
      <c r="K736" s="47" t="s">
        <v>33</v>
      </c>
    </row>
    <row r="737" customFormat="false" ht="15" hidden="false" customHeight="false" outlineLevel="0" collapsed="false">
      <c r="A737" s="0" t="s">
        <v>1433</v>
      </c>
      <c r="B737" s="0" t="s">
        <v>322</v>
      </c>
      <c r="D737" s="46" t="n">
        <v>45781</v>
      </c>
      <c r="E737" s="47" t="s">
        <v>60</v>
      </c>
      <c r="F737" s="48" t="n">
        <v>45827.43</v>
      </c>
      <c r="G737" s="47" t="s">
        <v>57</v>
      </c>
      <c r="H737" s="47" t="s">
        <v>39</v>
      </c>
      <c r="I737" s="47" t="s">
        <v>98</v>
      </c>
      <c r="J737" s="47" t="s">
        <v>28</v>
      </c>
      <c r="K737" s="47" t="s">
        <v>34</v>
      </c>
    </row>
    <row r="738" customFormat="false" ht="15" hidden="false" customHeight="false" outlineLevel="0" collapsed="false">
      <c r="A738" s="0" t="s">
        <v>1434</v>
      </c>
      <c r="B738" s="0" t="s">
        <v>1435</v>
      </c>
      <c r="D738" s="46" t="n">
        <v>45881</v>
      </c>
      <c r="E738" s="47" t="s">
        <v>61</v>
      </c>
      <c r="F738" s="48" t="n">
        <v>182209.26</v>
      </c>
      <c r="G738" s="47" t="s">
        <v>66</v>
      </c>
      <c r="H738" s="47" t="s">
        <v>39</v>
      </c>
      <c r="I738" s="47" t="s">
        <v>145</v>
      </c>
      <c r="J738" s="47" t="s">
        <v>28</v>
      </c>
      <c r="K738" s="47" t="s">
        <v>34</v>
      </c>
    </row>
    <row r="739" customFormat="false" ht="15" hidden="false" customHeight="false" outlineLevel="0" collapsed="false">
      <c r="A739" s="0" t="s">
        <v>1436</v>
      </c>
      <c r="B739" s="0" t="s">
        <v>1426</v>
      </c>
      <c r="D739" s="46" t="n">
        <v>46150</v>
      </c>
      <c r="E739" s="47" t="s">
        <v>61</v>
      </c>
      <c r="F739" s="48" t="n">
        <v>165166.19</v>
      </c>
      <c r="G739" s="47" t="s">
        <v>68</v>
      </c>
      <c r="H739" s="47" t="s">
        <v>45</v>
      </c>
      <c r="I739" s="47" t="s">
        <v>217</v>
      </c>
      <c r="J739" s="47" t="s">
        <v>28</v>
      </c>
      <c r="K739" s="47" t="s">
        <v>34</v>
      </c>
    </row>
    <row r="740" customFormat="false" ht="15" hidden="false" customHeight="false" outlineLevel="0" collapsed="false">
      <c r="A740" s="0" t="s">
        <v>1437</v>
      </c>
      <c r="B740" s="0" t="s">
        <v>1009</v>
      </c>
      <c r="D740" s="46" t="n">
        <v>46047</v>
      </c>
      <c r="E740" s="47" t="s">
        <v>59</v>
      </c>
      <c r="F740" s="48" t="n">
        <v>13797.4</v>
      </c>
      <c r="G740" s="47" t="s">
        <v>53</v>
      </c>
      <c r="H740" s="47" t="s">
        <v>47</v>
      </c>
      <c r="I740" s="47" t="s">
        <v>166</v>
      </c>
      <c r="J740" s="47" t="s">
        <v>30</v>
      </c>
      <c r="K740" s="47" t="s">
        <v>33</v>
      </c>
    </row>
    <row r="741" customFormat="false" ht="15" hidden="false" customHeight="false" outlineLevel="0" collapsed="false">
      <c r="A741" s="0" t="s">
        <v>1438</v>
      </c>
      <c r="B741" s="0" t="s">
        <v>1070</v>
      </c>
      <c r="C741" s="0" t="s">
        <v>1203</v>
      </c>
      <c r="D741" s="46" t="n">
        <v>46218</v>
      </c>
      <c r="E741" s="47" t="s">
        <v>59</v>
      </c>
      <c r="F741" s="48" t="n">
        <v>150411.4</v>
      </c>
      <c r="G741" s="47" t="s">
        <v>68</v>
      </c>
      <c r="H741" s="47" t="s">
        <v>47</v>
      </c>
      <c r="I741" s="47" t="s">
        <v>166</v>
      </c>
      <c r="J741" s="47" t="s">
        <v>28</v>
      </c>
      <c r="K741" s="47" t="s">
        <v>34</v>
      </c>
    </row>
    <row r="742" customFormat="false" ht="15" hidden="false" customHeight="false" outlineLevel="0" collapsed="false">
      <c r="A742" s="0" t="s">
        <v>1439</v>
      </c>
      <c r="B742" s="0" t="s">
        <v>1440</v>
      </c>
      <c r="D742" s="46" t="n">
        <v>46025</v>
      </c>
      <c r="E742" s="47" t="s">
        <v>55</v>
      </c>
      <c r="F742" s="48" t="n">
        <v>116624.89</v>
      </c>
      <c r="G742" s="47" t="s">
        <v>68</v>
      </c>
      <c r="H742" s="47" t="s">
        <v>45</v>
      </c>
      <c r="I742" s="47" t="s">
        <v>217</v>
      </c>
      <c r="J742" s="47" t="s">
        <v>28</v>
      </c>
      <c r="K742" s="47" t="s">
        <v>33</v>
      </c>
    </row>
    <row r="743" customFormat="false" ht="15" hidden="false" customHeight="false" outlineLevel="0" collapsed="false">
      <c r="A743" s="0" t="s">
        <v>1441</v>
      </c>
      <c r="B743" s="0" t="s">
        <v>350</v>
      </c>
      <c r="D743" s="46" t="n">
        <v>45909</v>
      </c>
      <c r="E743" s="47" t="s">
        <v>61</v>
      </c>
      <c r="F743" s="48" t="n">
        <v>68060.2</v>
      </c>
      <c r="G743" s="47" t="s">
        <v>66</v>
      </c>
      <c r="H743" s="47" t="s">
        <v>44</v>
      </c>
      <c r="I743" s="47" t="s">
        <v>80</v>
      </c>
      <c r="J743" s="47" t="s">
        <v>29</v>
      </c>
      <c r="K743" s="47" t="s">
        <v>33</v>
      </c>
    </row>
    <row r="744" customFormat="false" ht="15" hidden="false" customHeight="false" outlineLevel="0" collapsed="false">
      <c r="A744" s="0" t="s">
        <v>1442</v>
      </c>
      <c r="B744" s="0" t="s">
        <v>747</v>
      </c>
      <c r="D744" s="46" t="n">
        <v>46283</v>
      </c>
      <c r="E744" s="47" t="s">
        <v>53</v>
      </c>
      <c r="F744" s="48" t="n">
        <v>128242.59</v>
      </c>
      <c r="G744" s="47" t="s">
        <v>66</v>
      </c>
      <c r="H744" s="47" t="s">
        <v>48</v>
      </c>
      <c r="I744" s="47" t="s">
        <v>114</v>
      </c>
      <c r="J744" s="47" t="s">
        <v>28</v>
      </c>
      <c r="K744" s="47" t="s">
        <v>34</v>
      </c>
    </row>
    <row r="745" customFormat="false" ht="15" hidden="false" customHeight="false" outlineLevel="0" collapsed="false">
      <c r="A745" s="0" t="s">
        <v>1443</v>
      </c>
      <c r="B745" s="0" t="s">
        <v>1444</v>
      </c>
      <c r="D745" s="46" t="n">
        <v>45745</v>
      </c>
      <c r="E745" s="47" t="s">
        <v>55</v>
      </c>
      <c r="F745" s="48" t="n">
        <v>57056.6</v>
      </c>
      <c r="G745" s="47" t="s">
        <v>68</v>
      </c>
      <c r="H745" s="47" t="s">
        <v>45</v>
      </c>
      <c r="I745" s="47" t="s">
        <v>217</v>
      </c>
      <c r="J745" s="47" t="s">
        <v>28</v>
      </c>
      <c r="K745" s="47" t="s">
        <v>33</v>
      </c>
    </row>
    <row r="746" customFormat="false" ht="15" hidden="false" customHeight="false" outlineLevel="0" collapsed="false">
      <c r="A746" s="0" t="s">
        <v>1445</v>
      </c>
      <c r="B746" s="0" t="s">
        <v>1446</v>
      </c>
      <c r="D746" s="46" t="n">
        <v>45846</v>
      </c>
      <c r="E746" s="47" t="s">
        <v>62</v>
      </c>
      <c r="F746" s="48" t="n">
        <v>123103.64</v>
      </c>
      <c r="G746" s="47" t="s">
        <v>65</v>
      </c>
      <c r="H746" s="47" t="s">
        <v>46</v>
      </c>
      <c r="I746" s="47" t="s">
        <v>121</v>
      </c>
      <c r="J746" s="47" t="s">
        <v>28</v>
      </c>
      <c r="K746" s="47" t="s">
        <v>33</v>
      </c>
    </row>
    <row r="747" customFormat="false" ht="15" hidden="false" customHeight="false" outlineLevel="0" collapsed="false">
      <c r="A747" s="0" t="s">
        <v>1447</v>
      </c>
      <c r="B747" s="0" t="s">
        <v>307</v>
      </c>
      <c r="D747" s="46" t="n">
        <v>45784</v>
      </c>
      <c r="E747" s="47" t="s">
        <v>62</v>
      </c>
      <c r="F747" s="48" t="n">
        <v>137798.43</v>
      </c>
      <c r="G747" s="47" t="s">
        <v>57</v>
      </c>
      <c r="H747" s="47" t="s">
        <v>40</v>
      </c>
      <c r="I747" s="47" t="s">
        <v>89</v>
      </c>
      <c r="J747" s="47" t="s">
        <v>28</v>
      </c>
      <c r="K747" s="47" t="s">
        <v>33</v>
      </c>
    </row>
    <row r="748" customFormat="false" ht="15" hidden="false" customHeight="false" outlineLevel="0" collapsed="false">
      <c r="A748" s="0" t="s">
        <v>1448</v>
      </c>
      <c r="B748" s="0" t="s">
        <v>1449</v>
      </c>
      <c r="C748" s="0" t="s">
        <v>1450</v>
      </c>
      <c r="D748" s="46" t="n">
        <v>45758</v>
      </c>
      <c r="E748" s="47" t="s">
        <v>58</v>
      </c>
      <c r="F748" s="48" t="n">
        <v>83585.79</v>
      </c>
      <c r="G748" s="47" t="s">
        <v>65</v>
      </c>
      <c r="H748" s="47" t="s">
        <v>42</v>
      </c>
      <c r="I748" s="47" t="s">
        <v>137</v>
      </c>
      <c r="J748" s="47" t="s">
        <v>28</v>
      </c>
      <c r="K748" s="47" t="s">
        <v>33</v>
      </c>
    </row>
    <row r="749" customFormat="false" ht="15" hidden="false" customHeight="false" outlineLevel="0" collapsed="false">
      <c r="A749" s="0" t="s">
        <v>1451</v>
      </c>
      <c r="B749" s="0" t="s">
        <v>1452</v>
      </c>
      <c r="D749" s="46" t="n">
        <v>46142</v>
      </c>
      <c r="E749" s="47" t="s">
        <v>61</v>
      </c>
      <c r="F749" s="48" t="n">
        <v>4430.33</v>
      </c>
      <c r="G749" s="47" t="s">
        <v>57</v>
      </c>
      <c r="H749" s="47" t="s">
        <v>48</v>
      </c>
      <c r="I749" s="47" t="s">
        <v>212</v>
      </c>
      <c r="J749" s="47" t="s">
        <v>29</v>
      </c>
      <c r="K749" s="47" t="s">
        <v>34</v>
      </c>
    </row>
    <row r="750" customFormat="false" ht="15" hidden="false" customHeight="false" outlineLevel="0" collapsed="false">
      <c r="A750" s="0" t="s">
        <v>1453</v>
      </c>
      <c r="B750" s="0" t="s">
        <v>571</v>
      </c>
      <c r="D750" s="46" t="n">
        <v>45905</v>
      </c>
      <c r="E750" s="47" t="s">
        <v>59</v>
      </c>
      <c r="F750" s="48" t="n">
        <v>193455.27</v>
      </c>
      <c r="G750" s="47" t="s">
        <v>66</v>
      </c>
      <c r="H750" s="47" t="s">
        <v>43</v>
      </c>
      <c r="I750" s="47" t="s">
        <v>201</v>
      </c>
      <c r="J750" s="47" t="s">
        <v>28</v>
      </c>
      <c r="K750" s="47" t="s">
        <v>33</v>
      </c>
    </row>
    <row r="751" customFormat="false" ht="15" hidden="false" customHeight="false" outlineLevel="0" collapsed="false">
      <c r="A751" s="0" t="s">
        <v>1454</v>
      </c>
      <c r="B751" s="0" t="s">
        <v>461</v>
      </c>
      <c r="D751" s="46" t="n">
        <v>46174</v>
      </c>
      <c r="E751" s="47" t="s">
        <v>55</v>
      </c>
      <c r="F751" s="48" t="n">
        <v>78492.25</v>
      </c>
      <c r="G751" s="47" t="s">
        <v>53</v>
      </c>
      <c r="H751" s="47" t="s">
        <v>48</v>
      </c>
      <c r="I751" s="47" t="s">
        <v>111</v>
      </c>
      <c r="J751" s="47" t="s">
        <v>28</v>
      </c>
      <c r="K751" s="47" t="s">
        <v>34</v>
      </c>
    </row>
    <row r="752" customFormat="false" ht="15" hidden="false" customHeight="false" outlineLevel="0" collapsed="false">
      <c r="A752" s="0" t="s">
        <v>1455</v>
      </c>
      <c r="B752" s="0" t="s">
        <v>455</v>
      </c>
      <c r="D752" s="46" t="n">
        <v>45663</v>
      </c>
      <c r="E752" s="47" t="s">
        <v>59</v>
      </c>
      <c r="F752" s="48" t="n">
        <v>21374.1</v>
      </c>
      <c r="G752" s="47" t="s">
        <v>57</v>
      </c>
      <c r="H752" s="47" t="s">
        <v>44</v>
      </c>
      <c r="I752" s="47" t="s">
        <v>80</v>
      </c>
      <c r="J752" s="47" t="s">
        <v>28</v>
      </c>
      <c r="K752" s="47" t="s">
        <v>33</v>
      </c>
    </row>
    <row r="753" customFormat="false" ht="15" hidden="false" customHeight="false" outlineLevel="0" collapsed="false">
      <c r="A753" s="0" t="s">
        <v>1456</v>
      </c>
      <c r="B753" s="0" t="s">
        <v>1020</v>
      </c>
      <c r="D753" s="46" t="n">
        <v>45718</v>
      </c>
      <c r="E753" s="47" t="s">
        <v>53</v>
      </c>
      <c r="F753" s="48" t="n">
        <v>134882.12</v>
      </c>
      <c r="G753" s="47" t="s">
        <v>57</v>
      </c>
      <c r="H753" s="47" t="s">
        <v>45</v>
      </c>
      <c r="I753" s="47" t="s">
        <v>151</v>
      </c>
      <c r="J753" s="47" t="s">
        <v>28</v>
      </c>
      <c r="K753" s="47" t="s">
        <v>33</v>
      </c>
    </row>
    <row r="754" customFormat="false" ht="15" hidden="false" customHeight="false" outlineLevel="0" collapsed="false">
      <c r="A754" s="0" t="s">
        <v>1457</v>
      </c>
      <c r="B754" s="0" t="s">
        <v>1374</v>
      </c>
      <c r="D754" s="46" t="n">
        <v>45980</v>
      </c>
      <c r="E754" s="47" t="s">
        <v>58</v>
      </c>
      <c r="F754" s="48" t="n">
        <v>94212.3</v>
      </c>
      <c r="G754" s="47" t="s">
        <v>57</v>
      </c>
      <c r="H754" s="47" t="s">
        <v>40</v>
      </c>
      <c r="I754" s="47" t="s">
        <v>83</v>
      </c>
      <c r="J754" s="47" t="s">
        <v>28</v>
      </c>
      <c r="K754" s="47" t="s">
        <v>33</v>
      </c>
    </row>
    <row r="755" customFormat="false" ht="15" hidden="false" customHeight="false" outlineLevel="0" collapsed="false">
      <c r="A755" s="0" t="s">
        <v>1458</v>
      </c>
      <c r="B755" s="0" t="s">
        <v>1459</v>
      </c>
      <c r="C755" s="0" t="s">
        <v>1460</v>
      </c>
      <c r="D755" s="46" t="n">
        <v>45955</v>
      </c>
      <c r="E755" s="47" t="s">
        <v>60</v>
      </c>
      <c r="F755" s="48" t="n">
        <v>107969.82</v>
      </c>
      <c r="G755" s="47" t="s">
        <v>53</v>
      </c>
      <c r="H755" s="47" t="s">
        <v>45</v>
      </c>
      <c r="I755" s="47" t="s">
        <v>95</v>
      </c>
      <c r="J755" s="47" t="s">
        <v>28</v>
      </c>
      <c r="K755" s="47" t="s">
        <v>34</v>
      </c>
    </row>
    <row r="756" customFormat="false" ht="15" hidden="false" customHeight="false" outlineLevel="0" collapsed="false">
      <c r="A756" s="0" t="s">
        <v>1461</v>
      </c>
      <c r="B756" s="0" t="s">
        <v>730</v>
      </c>
      <c r="D756" s="46" t="n">
        <v>45947</v>
      </c>
      <c r="E756" s="47" t="s">
        <v>53</v>
      </c>
      <c r="F756" s="48" t="n">
        <v>26052.92</v>
      </c>
      <c r="G756" s="47" t="s">
        <v>68</v>
      </c>
      <c r="H756" s="47" t="s">
        <v>48</v>
      </c>
      <c r="I756" s="47" t="s">
        <v>114</v>
      </c>
      <c r="J756" s="47" t="s">
        <v>28</v>
      </c>
      <c r="K756" s="47" t="s">
        <v>34</v>
      </c>
    </row>
    <row r="757" customFormat="false" ht="15" hidden="false" customHeight="false" outlineLevel="0" collapsed="false">
      <c r="A757" s="0" t="s">
        <v>1462</v>
      </c>
      <c r="B757" s="0" t="s">
        <v>588</v>
      </c>
      <c r="D757" s="46" t="n">
        <v>46199</v>
      </c>
      <c r="E757" s="47" t="s">
        <v>61</v>
      </c>
      <c r="F757" s="48" t="n">
        <v>189469.57</v>
      </c>
      <c r="G757" s="47" t="s">
        <v>66</v>
      </c>
      <c r="H757" s="47" t="s">
        <v>43</v>
      </c>
      <c r="I757" s="47" t="s">
        <v>201</v>
      </c>
      <c r="J757" s="47" t="s">
        <v>28</v>
      </c>
      <c r="K757" s="47" t="s">
        <v>34</v>
      </c>
    </row>
    <row r="758" customFormat="false" ht="15" hidden="false" customHeight="false" outlineLevel="0" collapsed="false">
      <c r="A758" s="0" t="s">
        <v>1463</v>
      </c>
      <c r="B758" s="0" t="s">
        <v>1296</v>
      </c>
      <c r="D758" s="46" t="n">
        <v>46051</v>
      </c>
      <c r="E758" s="47" t="s">
        <v>62</v>
      </c>
      <c r="F758" s="48" t="n">
        <v>85705.47</v>
      </c>
      <c r="G758" s="47" t="s">
        <v>66</v>
      </c>
      <c r="H758" s="47" t="s">
        <v>41</v>
      </c>
      <c r="I758" s="47" t="s">
        <v>86</v>
      </c>
      <c r="J758" s="47" t="s">
        <v>28</v>
      </c>
      <c r="K758" s="47" t="s">
        <v>34</v>
      </c>
    </row>
    <row r="759" customFormat="false" ht="15" hidden="false" customHeight="false" outlineLevel="0" collapsed="false">
      <c r="A759" s="0" t="s">
        <v>1464</v>
      </c>
      <c r="B759" s="0" t="s">
        <v>769</v>
      </c>
      <c r="D759" s="46" t="n">
        <v>45718</v>
      </c>
      <c r="E759" s="47" t="s">
        <v>58</v>
      </c>
      <c r="F759" s="48" t="n">
        <v>155843.53</v>
      </c>
      <c r="G759" s="47" t="s">
        <v>66</v>
      </c>
      <c r="H759" s="47" t="s">
        <v>44</v>
      </c>
      <c r="I759" s="47" t="s">
        <v>226</v>
      </c>
      <c r="J759" s="47" t="s">
        <v>28</v>
      </c>
      <c r="K759" s="47" t="s">
        <v>33</v>
      </c>
    </row>
    <row r="760" customFormat="false" ht="15" hidden="false" customHeight="false" outlineLevel="0" collapsed="false">
      <c r="A760" s="0" t="s">
        <v>1465</v>
      </c>
      <c r="B760" s="0" t="s">
        <v>288</v>
      </c>
      <c r="D760" s="46" t="n">
        <v>45885</v>
      </c>
      <c r="E760" s="47" t="s">
        <v>60</v>
      </c>
      <c r="F760" s="48" t="n">
        <v>187216.29</v>
      </c>
      <c r="G760" s="47" t="s">
        <v>57</v>
      </c>
      <c r="H760" s="47" t="s">
        <v>44</v>
      </c>
      <c r="I760" s="47" t="s">
        <v>80</v>
      </c>
      <c r="J760" s="47" t="s">
        <v>29</v>
      </c>
      <c r="K760" s="47" t="s">
        <v>34</v>
      </c>
    </row>
    <row r="761" customFormat="false" ht="15" hidden="false" customHeight="false" outlineLevel="0" collapsed="false">
      <c r="A761" s="0" t="s">
        <v>1466</v>
      </c>
      <c r="B761" s="0" t="s">
        <v>1467</v>
      </c>
      <c r="D761" s="46" t="n">
        <v>45985</v>
      </c>
      <c r="E761" s="47" t="s">
        <v>58</v>
      </c>
      <c r="F761" s="48" t="n">
        <v>130798.12</v>
      </c>
      <c r="G761" s="47" t="s">
        <v>57</v>
      </c>
      <c r="H761" s="47" t="s">
        <v>45</v>
      </c>
      <c r="I761" s="47" t="s">
        <v>151</v>
      </c>
      <c r="J761" s="47" t="s">
        <v>28</v>
      </c>
      <c r="K761" s="47" t="s">
        <v>33</v>
      </c>
    </row>
    <row r="762" customFormat="false" ht="15" hidden="false" customHeight="false" outlineLevel="0" collapsed="false">
      <c r="A762" s="0" t="s">
        <v>1468</v>
      </c>
      <c r="B762" s="0" t="s">
        <v>1469</v>
      </c>
      <c r="D762" s="46" t="n">
        <v>45806</v>
      </c>
      <c r="E762" s="47" t="s">
        <v>62</v>
      </c>
      <c r="F762" s="48" t="n">
        <v>107383.65</v>
      </c>
      <c r="G762" s="47" t="s">
        <v>68</v>
      </c>
      <c r="H762" s="47" t="s">
        <v>48</v>
      </c>
      <c r="I762" s="47" t="s">
        <v>114</v>
      </c>
      <c r="J762" s="47" t="s">
        <v>28</v>
      </c>
      <c r="K762" s="47" t="s">
        <v>34</v>
      </c>
    </row>
    <row r="763" customFormat="false" ht="15" hidden="false" customHeight="false" outlineLevel="0" collapsed="false">
      <c r="A763" s="0" t="s">
        <v>1470</v>
      </c>
      <c r="B763" s="0" t="s">
        <v>725</v>
      </c>
      <c r="D763" s="46" t="n">
        <v>46067</v>
      </c>
      <c r="E763" s="47" t="s">
        <v>53</v>
      </c>
      <c r="F763" s="48" t="n">
        <v>89634.57</v>
      </c>
      <c r="G763" s="47" t="s">
        <v>68</v>
      </c>
      <c r="H763" s="47" t="s">
        <v>41</v>
      </c>
      <c r="I763" s="47" t="s">
        <v>272</v>
      </c>
      <c r="J763" s="47" t="s">
        <v>28</v>
      </c>
      <c r="K763" s="47" t="s">
        <v>34</v>
      </c>
    </row>
    <row r="764" customFormat="false" ht="15" hidden="false" customHeight="false" outlineLevel="0" collapsed="false">
      <c r="A764" s="0" t="s">
        <v>1471</v>
      </c>
      <c r="B764" s="0" t="s">
        <v>1472</v>
      </c>
      <c r="C764" s="0" t="s">
        <v>1473</v>
      </c>
      <c r="D764" s="46" t="n">
        <v>46293</v>
      </c>
      <c r="E764" s="47" t="s">
        <v>58</v>
      </c>
      <c r="F764" s="48" t="n">
        <v>174305.74</v>
      </c>
      <c r="G764" s="47" t="s">
        <v>57</v>
      </c>
      <c r="H764" s="47" t="s">
        <v>44</v>
      </c>
      <c r="I764" s="47" t="s">
        <v>132</v>
      </c>
      <c r="J764" s="47" t="s">
        <v>28</v>
      </c>
      <c r="K764" s="47" t="s">
        <v>34</v>
      </c>
    </row>
    <row r="765" customFormat="false" ht="15" hidden="false" customHeight="false" outlineLevel="0" collapsed="false">
      <c r="A765" s="0" t="s">
        <v>1474</v>
      </c>
      <c r="B765" s="0" t="s">
        <v>91</v>
      </c>
      <c r="D765" s="46" t="n">
        <v>46111</v>
      </c>
      <c r="E765" s="47" t="s">
        <v>62</v>
      </c>
      <c r="F765" s="48" t="n">
        <v>94055.06</v>
      </c>
      <c r="G765" s="47" t="s">
        <v>66</v>
      </c>
      <c r="H765" s="47" t="s">
        <v>41</v>
      </c>
      <c r="I765" s="47" t="s">
        <v>86</v>
      </c>
      <c r="J765" s="47" t="s">
        <v>28</v>
      </c>
      <c r="K765" s="47" t="s">
        <v>33</v>
      </c>
    </row>
    <row r="766" customFormat="false" ht="15" hidden="false" customHeight="false" outlineLevel="0" collapsed="false">
      <c r="A766" s="0" t="s">
        <v>1475</v>
      </c>
      <c r="B766" s="0" t="s">
        <v>1476</v>
      </c>
      <c r="D766" s="46" t="n">
        <v>46180</v>
      </c>
      <c r="E766" s="47" t="s">
        <v>59</v>
      </c>
      <c r="F766" s="48" t="n">
        <v>196730.03</v>
      </c>
      <c r="G766" s="47" t="s">
        <v>66</v>
      </c>
      <c r="H766" s="47" t="s">
        <v>46</v>
      </c>
      <c r="I766" s="47" t="s">
        <v>148</v>
      </c>
      <c r="J766" s="47" t="s">
        <v>28</v>
      </c>
      <c r="K766" s="47" t="s">
        <v>34</v>
      </c>
    </row>
    <row r="767" customFormat="false" ht="15" hidden="false" customHeight="false" outlineLevel="0" collapsed="false">
      <c r="A767" s="0" t="s">
        <v>1477</v>
      </c>
      <c r="B767" s="0" t="s">
        <v>637</v>
      </c>
      <c r="D767" s="46" t="n">
        <v>45978</v>
      </c>
      <c r="E767" s="47" t="s">
        <v>53</v>
      </c>
      <c r="F767" s="48" t="n">
        <v>199146.98</v>
      </c>
      <c r="G767" s="47" t="s">
        <v>57</v>
      </c>
      <c r="H767" s="47" t="s">
        <v>42</v>
      </c>
      <c r="I767" s="47" t="s">
        <v>398</v>
      </c>
      <c r="J767" s="47" t="s">
        <v>30</v>
      </c>
      <c r="K767" s="47" t="s">
        <v>34</v>
      </c>
    </row>
    <row r="768" customFormat="false" ht="15" hidden="false" customHeight="false" outlineLevel="0" collapsed="false">
      <c r="A768" s="0" t="s">
        <v>1478</v>
      </c>
      <c r="B768" s="0" t="s">
        <v>782</v>
      </c>
      <c r="D768" s="46" t="n">
        <v>46240</v>
      </c>
      <c r="E768" s="47" t="s">
        <v>55</v>
      </c>
      <c r="F768" s="48" t="n">
        <v>36171.94</v>
      </c>
      <c r="G768" s="47" t="s">
        <v>57</v>
      </c>
      <c r="H768" s="47" t="s">
        <v>39</v>
      </c>
      <c r="I768" s="47" t="s">
        <v>98</v>
      </c>
      <c r="J768" s="47" t="s">
        <v>29</v>
      </c>
      <c r="K768" s="47" t="s">
        <v>33</v>
      </c>
    </row>
    <row r="769" customFormat="false" ht="15" hidden="false" customHeight="false" outlineLevel="0" collapsed="false">
      <c r="A769" s="0" t="s">
        <v>1479</v>
      </c>
      <c r="B769" s="0" t="s">
        <v>1020</v>
      </c>
      <c r="D769" s="46" t="n">
        <v>45919</v>
      </c>
      <c r="E769" s="47" t="s">
        <v>55</v>
      </c>
      <c r="F769" s="48" t="n">
        <v>136398.01</v>
      </c>
      <c r="G769" s="47" t="s">
        <v>66</v>
      </c>
      <c r="H769" s="47" t="s">
        <v>45</v>
      </c>
      <c r="I769" s="47" t="s">
        <v>151</v>
      </c>
      <c r="J769" s="47" t="s">
        <v>28</v>
      </c>
      <c r="K769" s="47" t="s">
        <v>34</v>
      </c>
    </row>
    <row r="770" customFormat="false" ht="15" hidden="false" customHeight="false" outlineLevel="0" collapsed="false">
      <c r="A770" s="0" t="s">
        <v>1480</v>
      </c>
      <c r="B770" s="0" t="s">
        <v>415</v>
      </c>
      <c r="D770" s="46" t="n">
        <v>45773</v>
      </c>
      <c r="E770" s="47" t="s">
        <v>53</v>
      </c>
      <c r="F770" s="48" t="n">
        <v>181362.67</v>
      </c>
      <c r="G770" s="47" t="s">
        <v>68</v>
      </c>
      <c r="H770" s="47" t="s">
        <v>39</v>
      </c>
      <c r="I770" s="47" t="s">
        <v>98</v>
      </c>
      <c r="J770" s="47" t="s">
        <v>28</v>
      </c>
      <c r="K770" s="47" t="s">
        <v>33</v>
      </c>
    </row>
    <row r="771" customFormat="false" ht="15" hidden="false" customHeight="false" outlineLevel="0" collapsed="false">
      <c r="A771" s="0" t="s">
        <v>1481</v>
      </c>
      <c r="B771" s="0" t="s">
        <v>158</v>
      </c>
      <c r="D771" s="46" t="n">
        <v>46040</v>
      </c>
      <c r="E771" s="47" t="s">
        <v>53</v>
      </c>
      <c r="F771" s="48" t="n">
        <v>111320.65</v>
      </c>
      <c r="G771" s="47" t="s">
        <v>68</v>
      </c>
      <c r="H771" s="47" t="s">
        <v>46</v>
      </c>
      <c r="I771" s="47" t="s">
        <v>148</v>
      </c>
      <c r="J771" s="47" t="s">
        <v>28</v>
      </c>
      <c r="K771" s="47" t="s">
        <v>33</v>
      </c>
    </row>
    <row r="772" customFormat="false" ht="15" hidden="false" customHeight="false" outlineLevel="0" collapsed="false">
      <c r="A772" s="0" t="s">
        <v>1482</v>
      </c>
      <c r="B772" s="0" t="s">
        <v>1483</v>
      </c>
      <c r="D772" s="46" t="n">
        <v>46002</v>
      </c>
      <c r="E772" s="47" t="s">
        <v>59</v>
      </c>
      <c r="F772" s="48" t="n">
        <v>126437.36</v>
      </c>
      <c r="G772" s="47" t="s">
        <v>53</v>
      </c>
      <c r="H772" s="47" t="s">
        <v>46</v>
      </c>
      <c r="I772" s="47" t="s">
        <v>121</v>
      </c>
      <c r="J772" s="47" t="s">
        <v>28</v>
      </c>
      <c r="K772" s="47" t="s">
        <v>33</v>
      </c>
    </row>
    <row r="773" customFormat="false" ht="15" hidden="false" customHeight="false" outlineLevel="0" collapsed="false">
      <c r="A773" s="0" t="s">
        <v>1484</v>
      </c>
      <c r="B773" s="0" t="s">
        <v>1485</v>
      </c>
      <c r="C773" s="0" t="s">
        <v>1486</v>
      </c>
      <c r="D773" s="46" t="n">
        <v>45996</v>
      </c>
      <c r="E773" s="47" t="s">
        <v>61</v>
      </c>
      <c r="F773" s="48" t="n">
        <v>110458.43</v>
      </c>
      <c r="G773" s="47" t="s">
        <v>57</v>
      </c>
      <c r="H773" s="47" t="s">
        <v>42</v>
      </c>
      <c r="I773" s="47" t="s">
        <v>105</v>
      </c>
      <c r="J773" s="47" t="s">
        <v>30</v>
      </c>
      <c r="K773" s="47" t="s">
        <v>33</v>
      </c>
    </row>
    <row r="774" customFormat="false" ht="15" hidden="false" customHeight="false" outlineLevel="0" collapsed="false">
      <c r="A774" s="0" t="s">
        <v>1487</v>
      </c>
      <c r="B774" s="0" t="s">
        <v>833</v>
      </c>
      <c r="D774" s="46" t="n">
        <v>46165</v>
      </c>
      <c r="E774" s="47" t="s">
        <v>61</v>
      </c>
      <c r="F774" s="48" t="n">
        <v>83504.02</v>
      </c>
      <c r="G774" s="47" t="s">
        <v>53</v>
      </c>
      <c r="H774" s="47" t="s">
        <v>39</v>
      </c>
      <c r="I774" s="47" t="s">
        <v>177</v>
      </c>
      <c r="J774" s="47" t="s">
        <v>28</v>
      </c>
      <c r="K774" s="47" t="s">
        <v>34</v>
      </c>
    </row>
    <row r="775" customFormat="false" ht="15" hidden="false" customHeight="false" outlineLevel="0" collapsed="false">
      <c r="A775" s="0" t="s">
        <v>1488</v>
      </c>
      <c r="B775" s="0" t="s">
        <v>808</v>
      </c>
      <c r="D775" s="46" t="n">
        <v>45969</v>
      </c>
      <c r="E775" s="47" t="s">
        <v>60</v>
      </c>
      <c r="F775" s="48" t="n">
        <v>167176.28</v>
      </c>
      <c r="G775" s="47" t="s">
        <v>66</v>
      </c>
      <c r="H775" s="47" t="s">
        <v>44</v>
      </c>
      <c r="I775" s="47" t="s">
        <v>80</v>
      </c>
      <c r="J775" s="47" t="s">
        <v>28</v>
      </c>
      <c r="K775" s="47" t="s">
        <v>34</v>
      </c>
    </row>
    <row r="776" customFormat="false" ht="15" hidden="false" customHeight="false" outlineLevel="0" collapsed="false">
      <c r="A776" s="0" t="s">
        <v>1489</v>
      </c>
      <c r="B776" s="0" t="s">
        <v>1490</v>
      </c>
      <c r="D776" s="46" t="n">
        <v>46145</v>
      </c>
      <c r="E776" s="47" t="s">
        <v>61</v>
      </c>
      <c r="F776" s="48" t="n">
        <v>36710.63</v>
      </c>
      <c r="G776" s="47" t="s">
        <v>57</v>
      </c>
      <c r="H776" s="47" t="s">
        <v>40</v>
      </c>
      <c r="I776" s="47" t="s">
        <v>83</v>
      </c>
      <c r="J776" s="47" t="s">
        <v>28</v>
      </c>
      <c r="K776" s="47" t="s">
        <v>34</v>
      </c>
    </row>
    <row r="777" customFormat="false" ht="15" hidden="false" customHeight="false" outlineLevel="0" collapsed="false">
      <c r="A777" s="0" t="s">
        <v>1491</v>
      </c>
      <c r="B777" s="0" t="s">
        <v>989</v>
      </c>
      <c r="D777" s="46" t="n">
        <v>46040</v>
      </c>
      <c r="E777" s="47" t="s">
        <v>62</v>
      </c>
      <c r="F777" s="48" t="n">
        <v>77124.75</v>
      </c>
      <c r="G777" s="47" t="s">
        <v>66</v>
      </c>
      <c r="H777" s="47" t="s">
        <v>48</v>
      </c>
      <c r="I777" s="47" t="s">
        <v>212</v>
      </c>
      <c r="J777" s="47" t="s">
        <v>28</v>
      </c>
      <c r="K777" s="47" t="s">
        <v>34</v>
      </c>
    </row>
    <row r="778" customFormat="false" ht="15" hidden="false" customHeight="false" outlineLevel="0" collapsed="false">
      <c r="A778" s="0" t="s">
        <v>1492</v>
      </c>
      <c r="B778" s="0" t="s">
        <v>1493</v>
      </c>
      <c r="D778" s="46" t="n">
        <v>45960</v>
      </c>
      <c r="E778" s="47" t="s">
        <v>55</v>
      </c>
      <c r="F778" s="48" t="n">
        <v>167238.03</v>
      </c>
      <c r="G778" s="47" t="s">
        <v>68</v>
      </c>
      <c r="H778" s="47" t="s">
        <v>39</v>
      </c>
      <c r="I778" s="47" t="s">
        <v>145</v>
      </c>
      <c r="J778" s="47" t="s">
        <v>28</v>
      </c>
      <c r="K778" s="47" t="s">
        <v>33</v>
      </c>
    </row>
    <row r="779" customFormat="false" ht="15" hidden="false" customHeight="false" outlineLevel="0" collapsed="false">
      <c r="A779" s="0" t="s">
        <v>1494</v>
      </c>
      <c r="B779" s="0" t="s">
        <v>1495</v>
      </c>
      <c r="D779" s="46" t="n">
        <v>46058</v>
      </c>
      <c r="E779" s="47" t="s">
        <v>58</v>
      </c>
      <c r="F779" s="48" t="n">
        <v>50932.44</v>
      </c>
      <c r="G779" s="47" t="s">
        <v>68</v>
      </c>
      <c r="H779" s="47" t="s">
        <v>42</v>
      </c>
      <c r="I779" s="47" t="s">
        <v>105</v>
      </c>
      <c r="J779" s="47" t="s">
        <v>28</v>
      </c>
      <c r="K779" s="47" t="s">
        <v>33</v>
      </c>
    </row>
    <row r="780" customFormat="false" ht="15" hidden="false" customHeight="false" outlineLevel="0" collapsed="false">
      <c r="A780" s="0" t="s">
        <v>1496</v>
      </c>
      <c r="B780" s="0" t="s">
        <v>1187</v>
      </c>
      <c r="C780" s="0" t="s">
        <v>1497</v>
      </c>
      <c r="D780" s="46" t="n">
        <v>46008</v>
      </c>
      <c r="E780" s="47" t="s">
        <v>59</v>
      </c>
      <c r="F780" s="48" t="n">
        <v>181324.31</v>
      </c>
      <c r="G780" s="47" t="s">
        <v>68</v>
      </c>
      <c r="H780" s="47" t="s">
        <v>40</v>
      </c>
      <c r="I780" s="47" t="s">
        <v>253</v>
      </c>
      <c r="J780" s="47" t="s">
        <v>28</v>
      </c>
      <c r="K780" s="47" t="s">
        <v>34</v>
      </c>
    </row>
    <row r="781" customFormat="false" ht="15" hidden="false" customHeight="false" outlineLevel="0" collapsed="false">
      <c r="A781" s="0" t="s">
        <v>1498</v>
      </c>
      <c r="B781" s="0" t="s">
        <v>1499</v>
      </c>
      <c r="D781" s="46" t="n">
        <v>45844</v>
      </c>
      <c r="E781" s="47" t="s">
        <v>59</v>
      </c>
      <c r="F781" s="48" t="n">
        <v>17391.4</v>
      </c>
      <c r="G781" s="47" t="s">
        <v>68</v>
      </c>
      <c r="H781" s="47" t="s">
        <v>42</v>
      </c>
      <c r="I781" s="47" t="s">
        <v>105</v>
      </c>
      <c r="J781" s="47" t="s">
        <v>28</v>
      </c>
      <c r="K781" s="47" t="s">
        <v>34</v>
      </c>
    </row>
    <row r="782" customFormat="false" ht="15" hidden="false" customHeight="false" outlineLevel="0" collapsed="false">
      <c r="A782" s="0" t="s">
        <v>1500</v>
      </c>
      <c r="B782" s="0" t="s">
        <v>441</v>
      </c>
      <c r="D782" s="46" t="n">
        <v>45998</v>
      </c>
      <c r="E782" s="47" t="s">
        <v>61</v>
      </c>
      <c r="F782" s="48" t="n">
        <v>57113.15</v>
      </c>
      <c r="G782" s="47" t="s">
        <v>66</v>
      </c>
      <c r="H782" s="47" t="s">
        <v>45</v>
      </c>
      <c r="I782" s="47" t="s">
        <v>217</v>
      </c>
      <c r="J782" s="47" t="s">
        <v>29</v>
      </c>
      <c r="K782" s="47" t="s">
        <v>34</v>
      </c>
    </row>
    <row r="783" customFormat="false" ht="15" hidden="false" customHeight="false" outlineLevel="0" collapsed="false">
      <c r="A783" s="0" t="s">
        <v>1501</v>
      </c>
      <c r="B783" s="0" t="s">
        <v>1104</v>
      </c>
      <c r="D783" s="46" t="n">
        <v>45942</v>
      </c>
      <c r="E783" s="47" t="s">
        <v>60</v>
      </c>
      <c r="F783" s="48" t="n">
        <v>15621.71</v>
      </c>
      <c r="G783" s="47" t="s">
        <v>66</v>
      </c>
      <c r="H783" s="47" t="s">
        <v>39</v>
      </c>
      <c r="I783" s="47" t="s">
        <v>98</v>
      </c>
      <c r="J783" s="47" t="s">
        <v>29</v>
      </c>
      <c r="K783" s="47" t="s">
        <v>34</v>
      </c>
    </row>
    <row r="784" customFormat="false" ht="15" hidden="false" customHeight="false" outlineLevel="0" collapsed="false">
      <c r="A784" s="0" t="s">
        <v>1502</v>
      </c>
      <c r="B784" s="0" t="s">
        <v>384</v>
      </c>
      <c r="D784" s="46" t="n">
        <v>46284</v>
      </c>
      <c r="E784" s="47" t="s">
        <v>55</v>
      </c>
      <c r="F784" s="48" t="n">
        <v>54889.88</v>
      </c>
      <c r="G784" s="47" t="s">
        <v>65</v>
      </c>
      <c r="H784" s="47" t="s">
        <v>47</v>
      </c>
      <c r="I784" s="47" t="s">
        <v>245</v>
      </c>
      <c r="J784" s="47" t="s">
        <v>28</v>
      </c>
      <c r="K784" s="47" t="s">
        <v>33</v>
      </c>
    </row>
    <row r="785" customFormat="false" ht="15" hidden="false" customHeight="false" outlineLevel="0" collapsed="false">
      <c r="A785" s="0" t="s">
        <v>1503</v>
      </c>
      <c r="B785" s="0" t="s">
        <v>1504</v>
      </c>
      <c r="D785" s="46" t="n">
        <v>45934</v>
      </c>
      <c r="E785" s="47" t="s">
        <v>58</v>
      </c>
      <c r="F785" s="48" t="n">
        <v>33385.37</v>
      </c>
      <c r="G785" s="47" t="s">
        <v>68</v>
      </c>
      <c r="H785" s="47" t="s">
        <v>39</v>
      </c>
      <c r="I785" s="47" t="s">
        <v>98</v>
      </c>
      <c r="J785" s="47" t="s">
        <v>28</v>
      </c>
      <c r="K785" s="47" t="s">
        <v>34</v>
      </c>
    </row>
    <row r="786" customFormat="false" ht="15" hidden="false" customHeight="false" outlineLevel="0" collapsed="false">
      <c r="A786" s="0" t="s">
        <v>1505</v>
      </c>
      <c r="B786" s="0" t="s">
        <v>634</v>
      </c>
      <c r="D786" s="46" t="n">
        <v>46244</v>
      </c>
      <c r="E786" s="47" t="s">
        <v>60</v>
      </c>
      <c r="F786" s="48" t="n">
        <v>138570.18</v>
      </c>
      <c r="G786" s="47" t="s">
        <v>66</v>
      </c>
      <c r="H786" s="47" t="s">
        <v>44</v>
      </c>
      <c r="I786" s="47" t="s">
        <v>132</v>
      </c>
      <c r="J786" s="47" t="s">
        <v>28</v>
      </c>
      <c r="K786" s="47" t="s">
        <v>34</v>
      </c>
    </row>
    <row r="787" customFormat="false" ht="15" hidden="false" customHeight="false" outlineLevel="0" collapsed="false">
      <c r="A787" s="0" t="s">
        <v>1506</v>
      </c>
      <c r="B787" s="0" t="s">
        <v>547</v>
      </c>
      <c r="D787" s="46" t="n">
        <v>46032</v>
      </c>
      <c r="E787" s="47" t="s">
        <v>62</v>
      </c>
      <c r="F787" s="48" t="n">
        <v>186235.9</v>
      </c>
      <c r="G787" s="47" t="s">
        <v>57</v>
      </c>
      <c r="H787" s="47" t="s">
        <v>47</v>
      </c>
      <c r="I787" s="47" t="s">
        <v>245</v>
      </c>
      <c r="J787" s="47" t="s">
        <v>28</v>
      </c>
      <c r="K787" s="47" t="s">
        <v>34</v>
      </c>
    </row>
    <row r="788" customFormat="false" ht="15" hidden="false" customHeight="false" outlineLevel="0" collapsed="false">
      <c r="A788" s="0" t="s">
        <v>1507</v>
      </c>
      <c r="B788" s="0" t="s">
        <v>738</v>
      </c>
      <c r="D788" s="46" t="n">
        <v>46146</v>
      </c>
      <c r="E788" s="47" t="s">
        <v>55</v>
      </c>
      <c r="F788" s="48" t="n">
        <v>87807.38</v>
      </c>
      <c r="G788" s="47" t="s">
        <v>57</v>
      </c>
      <c r="H788" s="47" t="s">
        <v>47</v>
      </c>
      <c r="I788" s="47" t="s">
        <v>245</v>
      </c>
      <c r="J788" s="47" t="s">
        <v>28</v>
      </c>
      <c r="K788" s="47" t="s">
        <v>33</v>
      </c>
    </row>
    <row r="789" customFormat="false" ht="15" hidden="false" customHeight="false" outlineLevel="0" collapsed="false">
      <c r="A789" s="0" t="s">
        <v>1508</v>
      </c>
      <c r="B789" s="0" t="s">
        <v>413</v>
      </c>
      <c r="D789" s="46" t="n">
        <v>45913</v>
      </c>
      <c r="E789" s="47" t="s">
        <v>58</v>
      </c>
      <c r="F789" s="48" t="n">
        <v>35260</v>
      </c>
      <c r="G789" s="47" t="s">
        <v>57</v>
      </c>
      <c r="H789" s="47" t="s">
        <v>47</v>
      </c>
      <c r="I789" s="47" t="s">
        <v>166</v>
      </c>
      <c r="J789" s="47" t="s">
        <v>28</v>
      </c>
      <c r="K789" s="47" t="s">
        <v>33</v>
      </c>
    </row>
    <row r="790" customFormat="false" ht="15" hidden="false" customHeight="false" outlineLevel="0" collapsed="false">
      <c r="A790" s="0" t="s">
        <v>1509</v>
      </c>
      <c r="B790" s="0" t="s">
        <v>1329</v>
      </c>
      <c r="D790" s="46" t="n">
        <v>46148</v>
      </c>
      <c r="E790" s="47" t="s">
        <v>62</v>
      </c>
      <c r="F790" s="48" t="n">
        <v>178938.95</v>
      </c>
      <c r="G790" s="47" t="s">
        <v>65</v>
      </c>
      <c r="H790" s="47" t="s">
        <v>45</v>
      </c>
      <c r="I790" s="47" t="s">
        <v>151</v>
      </c>
      <c r="J790" s="47" t="s">
        <v>28</v>
      </c>
      <c r="K790" s="47" t="s">
        <v>34</v>
      </c>
    </row>
    <row r="791" customFormat="false" ht="15" hidden="false" customHeight="false" outlineLevel="0" collapsed="false">
      <c r="A791" s="0" t="s">
        <v>1510</v>
      </c>
      <c r="B791" s="0" t="s">
        <v>1511</v>
      </c>
      <c r="D791" s="46" t="n">
        <v>46209</v>
      </c>
      <c r="E791" s="47" t="s">
        <v>55</v>
      </c>
      <c r="F791" s="48" t="n">
        <v>144181.02</v>
      </c>
      <c r="G791" s="47" t="s">
        <v>57</v>
      </c>
      <c r="H791" s="47" t="s">
        <v>45</v>
      </c>
      <c r="I791" s="47" t="s">
        <v>217</v>
      </c>
      <c r="J791" s="47" t="s">
        <v>28</v>
      </c>
      <c r="K791" s="47" t="s">
        <v>34</v>
      </c>
    </row>
    <row r="792" customFormat="false" ht="15" hidden="false" customHeight="false" outlineLevel="0" collapsed="false">
      <c r="A792" s="0" t="s">
        <v>1512</v>
      </c>
      <c r="B792" s="0" t="s">
        <v>1387</v>
      </c>
      <c r="D792" s="46" t="n">
        <v>45795</v>
      </c>
      <c r="E792" s="47" t="s">
        <v>58</v>
      </c>
      <c r="F792" s="48" t="n">
        <v>107563.97</v>
      </c>
      <c r="G792" s="47" t="s">
        <v>66</v>
      </c>
      <c r="H792" s="47" t="s">
        <v>45</v>
      </c>
      <c r="I792" s="47" t="s">
        <v>217</v>
      </c>
      <c r="J792" s="47" t="s">
        <v>28</v>
      </c>
      <c r="K792" s="47" t="s">
        <v>33</v>
      </c>
    </row>
    <row r="793" customFormat="false" ht="15" hidden="false" customHeight="false" outlineLevel="0" collapsed="false">
      <c r="A793" s="0" t="s">
        <v>1513</v>
      </c>
      <c r="B793" s="0" t="s">
        <v>267</v>
      </c>
      <c r="D793" s="46" t="n">
        <v>45824</v>
      </c>
      <c r="E793" s="47" t="s">
        <v>58</v>
      </c>
      <c r="F793" s="48" t="n">
        <v>59268.09</v>
      </c>
      <c r="G793" s="47" t="s">
        <v>68</v>
      </c>
      <c r="H793" s="47" t="s">
        <v>46</v>
      </c>
      <c r="I793" s="47" t="s">
        <v>242</v>
      </c>
      <c r="J793" s="47" t="s">
        <v>28</v>
      </c>
      <c r="K793" s="47" t="s">
        <v>34</v>
      </c>
    </row>
    <row r="794" customFormat="false" ht="15" hidden="false" customHeight="false" outlineLevel="0" collapsed="false">
      <c r="A794" s="0" t="s">
        <v>1514</v>
      </c>
      <c r="B794" s="0" t="s">
        <v>582</v>
      </c>
      <c r="C794" s="0" t="s">
        <v>1515</v>
      </c>
      <c r="D794" s="46" t="n">
        <v>45954</v>
      </c>
      <c r="E794" s="47" t="s">
        <v>58</v>
      </c>
      <c r="F794" s="48" t="n">
        <v>22066.95</v>
      </c>
      <c r="G794" s="47" t="s">
        <v>57</v>
      </c>
      <c r="H794" s="47" t="s">
        <v>48</v>
      </c>
      <c r="I794" s="47" t="s">
        <v>114</v>
      </c>
      <c r="J794" s="47" t="s">
        <v>28</v>
      </c>
      <c r="K794" s="47" t="s">
        <v>33</v>
      </c>
    </row>
    <row r="795" customFormat="false" ht="15" hidden="false" customHeight="false" outlineLevel="0" collapsed="false">
      <c r="A795" s="0" t="s">
        <v>1516</v>
      </c>
      <c r="B795" s="0" t="s">
        <v>887</v>
      </c>
      <c r="D795" s="46" t="n">
        <v>45665</v>
      </c>
      <c r="E795" s="47" t="s">
        <v>60</v>
      </c>
      <c r="F795" s="48" t="n">
        <v>112285.31</v>
      </c>
      <c r="G795" s="47" t="s">
        <v>53</v>
      </c>
      <c r="H795" s="47" t="s">
        <v>48</v>
      </c>
      <c r="I795" s="47" t="s">
        <v>212</v>
      </c>
      <c r="J795" s="47" t="s">
        <v>28</v>
      </c>
      <c r="K795" s="47" t="s">
        <v>33</v>
      </c>
    </row>
    <row r="796" customFormat="false" ht="15" hidden="false" customHeight="false" outlineLevel="0" collapsed="false">
      <c r="A796" s="0" t="s">
        <v>1517</v>
      </c>
      <c r="B796" s="0" t="s">
        <v>498</v>
      </c>
      <c r="D796" s="46" t="n">
        <v>45672</v>
      </c>
      <c r="E796" s="47" t="s">
        <v>60</v>
      </c>
      <c r="F796" s="48" t="n">
        <v>146972.19</v>
      </c>
      <c r="G796" s="47" t="s">
        <v>68</v>
      </c>
      <c r="H796" s="47" t="s">
        <v>46</v>
      </c>
      <c r="I796" s="47" t="s">
        <v>121</v>
      </c>
      <c r="J796" s="47" t="s">
        <v>29</v>
      </c>
      <c r="K796" s="47" t="s">
        <v>34</v>
      </c>
    </row>
    <row r="797" customFormat="false" ht="15" hidden="false" customHeight="false" outlineLevel="0" collapsed="false">
      <c r="A797" s="0" t="s">
        <v>1518</v>
      </c>
      <c r="B797" s="0" t="s">
        <v>271</v>
      </c>
      <c r="D797" s="46" t="n">
        <v>46292</v>
      </c>
      <c r="E797" s="47" t="s">
        <v>53</v>
      </c>
      <c r="F797" s="48" t="n">
        <v>98620.28</v>
      </c>
      <c r="G797" s="47" t="s">
        <v>53</v>
      </c>
      <c r="H797" s="47" t="s">
        <v>41</v>
      </c>
      <c r="I797" s="47" t="s">
        <v>272</v>
      </c>
      <c r="J797" s="47" t="s">
        <v>28</v>
      </c>
      <c r="K797" s="47" t="s">
        <v>34</v>
      </c>
    </row>
    <row r="798" customFormat="false" ht="15" hidden="false" customHeight="false" outlineLevel="0" collapsed="false">
      <c r="A798" s="0" t="s">
        <v>1519</v>
      </c>
      <c r="B798" s="0" t="s">
        <v>1116</v>
      </c>
      <c r="D798" s="46" t="n">
        <v>45897</v>
      </c>
      <c r="E798" s="47" t="s">
        <v>58</v>
      </c>
      <c r="F798" s="48" t="n">
        <v>104014.24</v>
      </c>
      <c r="G798" s="47" t="s">
        <v>65</v>
      </c>
      <c r="H798" s="47" t="s">
        <v>39</v>
      </c>
      <c r="I798" s="47" t="s">
        <v>177</v>
      </c>
      <c r="J798" s="47" t="s">
        <v>28</v>
      </c>
      <c r="K798" s="47" t="s">
        <v>34</v>
      </c>
    </row>
    <row r="799" customFormat="false" ht="15" hidden="false" customHeight="false" outlineLevel="0" collapsed="false">
      <c r="A799" s="0" t="s">
        <v>1520</v>
      </c>
      <c r="B799" s="0" t="s">
        <v>1396</v>
      </c>
      <c r="D799" s="46" t="n">
        <v>45716</v>
      </c>
      <c r="E799" s="47" t="s">
        <v>59</v>
      </c>
      <c r="F799" s="48" t="n">
        <v>86029.9</v>
      </c>
      <c r="G799" s="47" t="s">
        <v>53</v>
      </c>
      <c r="H799" s="47" t="s">
        <v>44</v>
      </c>
      <c r="I799" s="47" t="s">
        <v>132</v>
      </c>
      <c r="J799" s="47" t="s">
        <v>28</v>
      </c>
      <c r="K799" s="47" t="s">
        <v>33</v>
      </c>
    </row>
    <row r="800" customFormat="false" ht="15" hidden="false" customHeight="false" outlineLevel="0" collapsed="false">
      <c r="A800" s="0" t="s">
        <v>1521</v>
      </c>
      <c r="B800" s="0" t="s">
        <v>1522</v>
      </c>
      <c r="D800" s="46" t="n">
        <v>46000</v>
      </c>
      <c r="E800" s="47" t="s">
        <v>61</v>
      </c>
      <c r="F800" s="48" t="n">
        <v>143746.24</v>
      </c>
      <c r="G800" s="47" t="s">
        <v>57</v>
      </c>
      <c r="H800" s="47" t="s">
        <v>43</v>
      </c>
      <c r="I800" s="47" t="s">
        <v>201</v>
      </c>
      <c r="J800" s="47" t="s">
        <v>28</v>
      </c>
      <c r="K800" s="47" t="s">
        <v>33</v>
      </c>
    </row>
    <row r="801" customFormat="false" ht="15" hidden="false" customHeight="false" outlineLevel="0" collapsed="false">
      <c r="A801" s="0" t="s">
        <v>1523</v>
      </c>
      <c r="B801" s="0" t="s">
        <v>1524</v>
      </c>
      <c r="D801" s="46" t="n">
        <v>46117</v>
      </c>
      <c r="E801" s="47" t="s">
        <v>62</v>
      </c>
      <c r="F801" s="48" t="n">
        <v>149410.55</v>
      </c>
      <c r="G801" s="47" t="s">
        <v>57</v>
      </c>
      <c r="H801" s="47" t="s">
        <v>40</v>
      </c>
      <c r="I801" s="47" t="s">
        <v>89</v>
      </c>
      <c r="J801" s="47" t="s">
        <v>28</v>
      </c>
      <c r="K801" s="47" t="s">
        <v>34</v>
      </c>
    </row>
    <row r="802" customFormat="false" ht="15" hidden="false" customHeight="false" outlineLevel="0" collapsed="false">
      <c r="A802" s="0" t="s">
        <v>1525</v>
      </c>
      <c r="B802" s="0" t="s">
        <v>371</v>
      </c>
      <c r="D802" s="46" t="n">
        <v>46037</v>
      </c>
      <c r="E802" s="47" t="s">
        <v>62</v>
      </c>
      <c r="F802" s="48" t="n">
        <v>115319.63</v>
      </c>
      <c r="G802" s="47" t="s">
        <v>57</v>
      </c>
      <c r="H802" s="47" t="s">
        <v>46</v>
      </c>
      <c r="I802" s="47" t="s">
        <v>148</v>
      </c>
      <c r="J802" s="47" t="s">
        <v>28</v>
      </c>
      <c r="K802" s="47" t="s">
        <v>34</v>
      </c>
    </row>
    <row r="803" customFormat="false" ht="15" hidden="false" customHeight="false" outlineLevel="0" collapsed="false">
      <c r="A803" s="0" t="s">
        <v>1526</v>
      </c>
      <c r="B803" s="0" t="s">
        <v>1527</v>
      </c>
      <c r="D803" s="46" t="n">
        <v>46033</v>
      </c>
      <c r="E803" s="47" t="s">
        <v>61</v>
      </c>
      <c r="F803" s="48" t="n">
        <v>53938.56</v>
      </c>
      <c r="G803" s="47" t="s">
        <v>53</v>
      </c>
      <c r="H803" s="47" t="s">
        <v>41</v>
      </c>
      <c r="I803" s="47" t="s">
        <v>272</v>
      </c>
      <c r="J803" s="47" t="s">
        <v>28</v>
      </c>
      <c r="K803" s="47" t="s">
        <v>33</v>
      </c>
    </row>
    <row r="804" customFormat="false" ht="15" hidden="false" customHeight="false" outlineLevel="0" collapsed="false">
      <c r="A804" s="0" t="s">
        <v>1528</v>
      </c>
      <c r="B804" s="0" t="s">
        <v>410</v>
      </c>
      <c r="D804" s="46" t="n">
        <v>45725</v>
      </c>
      <c r="E804" s="47" t="s">
        <v>62</v>
      </c>
      <c r="F804" s="48" t="n">
        <v>125119.61</v>
      </c>
      <c r="G804" s="47" t="s">
        <v>57</v>
      </c>
      <c r="H804" s="47" t="s">
        <v>47</v>
      </c>
      <c r="I804" s="47" t="s">
        <v>245</v>
      </c>
      <c r="J804" s="47" t="s">
        <v>28</v>
      </c>
      <c r="K804" s="47" t="s">
        <v>34</v>
      </c>
    </row>
    <row r="805" customFormat="false" ht="15" hidden="false" customHeight="false" outlineLevel="0" collapsed="false">
      <c r="A805" s="0" t="s">
        <v>1529</v>
      </c>
      <c r="B805" s="0" t="s">
        <v>478</v>
      </c>
      <c r="C805" s="0" t="s">
        <v>1530</v>
      </c>
      <c r="D805" s="46" t="n">
        <v>46065</v>
      </c>
      <c r="E805" s="47" t="s">
        <v>58</v>
      </c>
      <c r="F805" s="48" t="n">
        <v>155039.67</v>
      </c>
      <c r="G805" s="47" t="s">
        <v>57</v>
      </c>
      <c r="H805" s="47" t="s">
        <v>48</v>
      </c>
      <c r="I805" s="47" t="s">
        <v>114</v>
      </c>
      <c r="J805" s="47" t="s">
        <v>28</v>
      </c>
      <c r="K805" s="47" t="s">
        <v>34</v>
      </c>
    </row>
    <row r="806" customFormat="false" ht="15" hidden="false" customHeight="false" outlineLevel="0" collapsed="false">
      <c r="A806" s="0" t="s">
        <v>1531</v>
      </c>
      <c r="B806" s="0" t="s">
        <v>263</v>
      </c>
      <c r="C806" s="0" t="s">
        <v>1532</v>
      </c>
      <c r="D806" s="46" t="n">
        <v>45890</v>
      </c>
      <c r="E806" s="47" t="s">
        <v>61</v>
      </c>
      <c r="F806" s="48" t="n">
        <v>98314.47</v>
      </c>
      <c r="G806" s="47" t="s">
        <v>57</v>
      </c>
      <c r="H806" s="47" t="s">
        <v>46</v>
      </c>
      <c r="I806" s="47" t="s">
        <v>121</v>
      </c>
      <c r="J806" s="47" t="s">
        <v>28</v>
      </c>
      <c r="K806" s="47" t="s">
        <v>34</v>
      </c>
    </row>
    <row r="807" customFormat="false" ht="15" hidden="false" customHeight="false" outlineLevel="0" collapsed="false">
      <c r="A807" s="0" t="s">
        <v>1533</v>
      </c>
      <c r="B807" s="0" t="s">
        <v>1534</v>
      </c>
      <c r="D807" s="46" t="n">
        <v>45988</v>
      </c>
      <c r="E807" s="47" t="s">
        <v>53</v>
      </c>
      <c r="F807" s="48" t="n">
        <v>141193.55</v>
      </c>
      <c r="G807" s="47" t="s">
        <v>66</v>
      </c>
      <c r="H807" s="47" t="s">
        <v>39</v>
      </c>
      <c r="I807" s="47" t="s">
        <v>177</v>
      </c>
      <c r="J807" s="47" t="s">
        <v>28</v>
      </c>
      <c r="K807" s="47" t="s">
        <v>33</v>
      </c>
    </row>
    <row r="808" customFormat="false" ht="15" hidden="false" customHeight="false" outlineLevel="0" collapsed="false">
      <c r="A808" s="0" t="s">
        <v>1535</v>
      </c>
      <c r="B808" s="0" t="s">
        <v>1352</v>
      </c>
      <c r="D808" s="46" t="n">
        <v>46189</v>
      </c>
      <c r="E808" s="47" t="s">
        <v>61</v>
      </c>
      <c r="F808" s="48" t="n">
        <v>77740.11</v>
      </c>
      <c r="G808" s="47" t="s">
        <v>53</v>
      </c>
      <c r="H808" s="47" t="s">
        <v>45</v>
      </c>
      <c r="I808" s="47" t="s">
        <v>95</v>
      </c>
      <c r="J808" s="47" t="s">
        <v>28</v>
      </c>
      <c r="K808" s="47" t="s">
        <v>33</v>
      </c>
    </row>
    <row r="809" customFormat="false" ht="15" hidden="false" customHeight="false" outlineLevel="0" collapsed="false">
      <c r="A809" s="0" t="s">
        <v>1536</v>
      </c>
      <c r="B809" s="0" t="s">
        <v>786</v>
      </c>
      <c r="D809" s="46" t="n">
        <v>46278</v>
      </c>
      <c r="E809" s="47" t="s">
        <v>55</v>
      </c>
      <c r="F809" s="48" t="n">
        <v>76221.74</v>
      </c>
      <c r="G809" s="47" t="s">
        <v>53</v>
      </c>
      <c r="H809" s="47" t="s">
        <v>48</v>
      </c>
      <c r="I809" s="47" t="s">
        <v>114</v>
      </c>
      <c r="J809" s="47" t="s">
        <v>28</v>
      </c>
      <c r="K809" s="47" t="s">
        <v>33</v>
      </c>
    </row>
    <row r="810" customFormat="false" ht="15" hidden="false" customHeight="false" outlineLevel="0" collapsed="false">
      <c r="A810" s="0" t="s">
        <v>1537</v>
      </c>
      <c r="B810" s="0" t="s">
        <v>1129</v>
      </c>
      <c r="D810" s="46" t="n">
        <v>45889</v>
      </c>
      <c r="E810" s="47" t="s">
        <v>62</v>
      </c>
      <c r="F810" s="48" t="n">
        <v>166965.86</v>
      </c>
      <c r="G810" s="47" t="s">
        <v>65</v>
      </c>
      <c r="H810" s="47" t="s">
        <v>45</v>
      </c>
      <c r="I810" s="47" t="s">
        <v>217</v>
      </c>
      <c r="J810" s="47" t="s">
        <v>28</v>
      </c>
      <c r="K810" s="47" t="s">
        <v>34</v>
      </c>
    </row>
    <row r="811" customFormat="false" ht="15" hidden="false" customHeight="false" outlineLevel="0" collapsed="false">
      <c r="A811" s="0" t="s">
        <v>1538</v>
      </c>
      <c r="B811" s="0" t="s">
        <v>1236</v>
      </c>
      <c r="D811" s="46" t="n">
        <v>45875</v>
      </c>
      <c r="E811" s="47" t="s">
        <v>62</v>
      </c>
      <c r="F811" s="48" t="n">
        <v>3718.95</v>
      </c>
      <c r="G811" s="47" t="s">
        <v>66</v>
      </c>
      <c r="H811" s="47" t="s">
        <v>43</v>
      </c>
      <c r="I811" s="47" t="s">
        <v>201</v>
      </c>
      <c r="J811" s="47" t="s">
        <v>29</v>
      </c>
      <c r="K811" s="47" t="s">
        <v>34</v>
      </c>
    </row>
    <row r="812" customFormat="false" ht="15" hidden="false" customHeight="false" outlineLevel="0" collapsed="false">
      <c r="A812" s="0" t="s">
        <v>1539</v>
      </c>
      <c r="B812" s="0" t="s">
        <v>250</v>
      </c>
      <c r="D812" s="46" t="n">
        <v>45796</v>
      </c>
      <c r="E812" s="47" t="s">
        <v>59</v>
      </c>
      <c r="F812" s="48" t="n">
        <v>29488.69</v>
      </c>
      <c r="G812" s="47" t="s">
        <v>68</v>
      </c>
      <c r="H812" s="47" t="s">
        <v>39</v>
      </c>
      <c r="I812" s="47" t="s">
        <v>177</v>
      </c>
      <c r="J812" s="47" t="s">
        <v>30</v>
      </c>
      <c r="K812" s="47" t="s">
        <v>34</v>
      </c>
    </row>
    <row r="813" customFormat="false" ht="15" hidden="false" customHeight="false" outlineLevel="0" collapsed="false">
      <c r="A813" s="0" t="s">
        <v>1540</v>
      </c>
      <c r="B813" s="0" t="s">
        <v>1541</v>
      </c>
      <c r="D813" s="46" t="n">
        <v>45791</v>
      </c>
      <c r="E813" s="47" t="s">
        <v>55</v>
      </c>
      <c r="F813" s="48" t="n">
        <v>6042.2</v>
      </c>
      <c r="G813" s="47" t="s">
        <v>66</v>
      </c>
      <c r="H813" s="47" t="s">
        <v>48</v>
      </c>
      <c r="I813" s="47" t="s">
        <v>212</v>
      </c>
      <c r="J813" s="47" t="s">
        <v>28</v>
      </c>
      <c r="K813" s="47" t="s">
        <v>33</v>
      </c>
    </row>
    <row r="814" customFormat="false" ht="15" hidden="false" customHeight="false" outlineLevel="0" collapsed="false">
      <c r="A814" s="0" t="s">
        <v>1542</v>
      </c>
      <c r="B814" s="0" t="s">
        <v>1543</v>
      </c>
      <c r="D814" s="46" t="n">
        <v>46101</v>
      </c>
      <c r="E814" s="47" t="s">
        <v>53</v>
      </c>
      <c r="F814" s="48" t="n">
        <v>191777.22</v>
      </c>
      <c r="G814" s="47" t="s">
        <v>65</v>
      </c>
      <c r="H814" s="47" t="s">
        <v>40</v>
      </c>
      <c r="I814" s="47" t="s">
        <v>89</v>
      </c>
      <c r="J814" s="47" t="s">
        <v>28</v>
      </c>
      <c r="K814" s="47" t="s">
        <v>33</v>
      </c>
    </row>
    <row r="815" customFormat="false" ht="15" hidden="false" customHeight="false" outlineLevel="0" collapsed="false">
      <c r="A815" s="0" t="s">
        <v>1544</v>
      </c>
      <c r="B815" s="0" t="s">
        <v>597</v>
      </c>
      <c r="D815" s="46" t="n">
        <v>46029</v>
      </c>
      <c r="E815" s="47" t="s">
        <v>58</v>
      </c>
      <c r="F815" s="48" t="n">
        <v>80866.68</v>
      </c>
      <c r="G815" s="47" t="s">
        <v>53</v>
      </c>
      <c r="H815" s="47" t="s">
        <v>39</v>
      </c>
      <c r="I815" s="47" t="s">
        <v>98</v>
      </c>
      <c r="J815" s="47" t="s">
        <v>28</v>
      </c>
      <c r="K815" s="47" t="s">
        <v>33</v>
      </c>
    </row>
    <row r="816" customFormat="false" ht="15" hidden="false" customHeight="false" outlineLevel="0" collapsed="false">
      <c r="A816" s="0" t="s">
        <v>1545</v>
      </c>
      <c r="B816" s="0" t="s">
        <v>307</v>
      </c>
      <c r="D816" s="46" t="n">
        <v>45797</v>
      </c>
      <c r="E816" s="47" t="s">
        <v>55</v>
      </c>
      <c r="F816" s="48" t="n">
        <v>101372.29</v>
      </c>
      <c r="G816" s="47" t="s">
        <v>68</v>
      </c>
      <c r="H816" s="47" t="s">
        <v>40</v>
      </c>
      <c r="I816" s="47" t="s">
        <v>89</v>
      </c>
      <c r="J816" s="47" t="s">
        <v>28</v>
      </c>
      <c r="K816" s="47" t="s">
        <v>34</v>
      </c>
    </row>
    <row r="817" customFormat="false" ht="15" hidden="false" customHeight="false" outlineLevel="0" collapsed="false">
      <c r="A817" s="0" t="s">
        <v>1546</v>
      </c>
      <c r="B817" s="0" t="s">
        <v>1289</v>
      </c>
      <c r="D817" s="46" t="n">
        <v>46150</v>
      </c>
      <c r="E817" s="47" t="s">
        <v>53</v>
      </c>
      <c r="F817" s="48" t="n">
        <v>23878.59</v>
      </c>
      <c r="G817" s="47" t="s">
        <v>66</v>
      </c>
      <c r="H817" s="47" t="s">
        <v>46</v>
      </c>
      <c r="I817" s="47" t="s">
        <v>121</v>
      </c>
      <c r="J817" s="47" t="s">
        <v>28</v>
      </c>
      <c r="K817" s="47" t="s">
        <v>33</v>
      </c>
    </row>
    <row r="818" customFormat="false" ht="15" hidden="false" customHeight="false" outlineLevel="0" collapsed="false">
      <c r="A818" s="0" t="s">
        <v>1547</v>
      </c>
      <c r="B818" s="0" t="s">
        <v>1548</v>
      </c>
      <c r="D818" s="46" t="n">
        <v>45879</v>
      </c>
      <c r="E818" s="47" t="s">
        <v>55</v>
      </c>
      <c r="F818" s="48" t="n">
        <v>96041.61</v>
      </c>
      <c r="G818" s="47" t="s">
        <v>66</v>
      </c>
      <c r="H818" s="47" t="s">
        <v>40</v>
      </c>
      <c r="I818" s="47" t="s">
        <v>83</v>
      </c>
      <c r="J818" s="47" t="s">
        <v>29</v>
      </c>
      <c r="K818" s="47" t="s">
        <v>33</v>
      </c>
    </row>
    <row r="819" customFormat="false" ht="15" hidden="false" customHeight="false" outlineLevel="0" collapsed="false">
      <c r="A819" s="0" t="s">
        <v>1549</v>
      </c>
      <c r="B819" s="0" t="s">
        <v>468</v>
      </c>
      <c r="C819" s="0" t="s">
        <v>609</v>
      </c>
      <c r="D819" s="46" t="n">
        <v>45852</v>
      </c>
      <c r="E819" s="47" t="s">
        <v>55</v>
      </c>
      <c r="F819" s="48" t="n">
        <v>122748.54</v>
      </c>
      <c r="G819" s="47" t="s">
        <v>53</v>
      </c>
      <c r="H819" s="47" t="s">
        <v>40</v>
      </c>
      <c r="I819" s="47" t="s">
        <v>83</v>
      </c>
      <c r="J819" s="47" t="s">
        <v>28</v>
      </c>
      <c r="K819" s="47" t="s">
        <v>34</v>
      </c>
    </row>
    <row r="820" customFormat="false" ht="15" hidden="false" customHeight="false" outlineLevel="0" collapsed="false">
      <c r="A820" s="0" t="s">
        <v>1550</v>
      </c>
      <c r="B820" s="0" t="s">
        <v>1435</v>
      </c>
      <c r="D820" s="46" t="n">
        <v>46009</v>
      </c>
      <c r="E820" s="47" t="s">
        <v>53</v>
      </c>
      <c r="F820" s="48" t="n">
        <v>191452.66</v>
      </c>
      <c r="G820" s="47" t="s">
        <v>57</v>
      </c>
      <c r="H820" s="47" t="s">
        <v>39</v>
      </c>
      <c r="I820" s="47" t="s">
        <v>145</v>
      </c>
      <c r="J820" s="47" t="s">
        <v>28</v>
      </c>
      <c r="K820" s="47" t="s">
        <v>33</v>
      </c>
    </row>
    <row r="821" customFormat="false" ht="15" hidden="false" customHeight="false" outlineLevel="0" collapsed="false">
      <c r="A821" s="0" t="s">
        <v>1551</v>
      </c>
      <c r="B821" s="0" t="s">
        <v>297</v>
      </c>
      <c r="C821" s="0" t="s">
        <v>771</v>
      </c>
      <c r="D821" s="46" t="n">
        <v>45829</v>
      </c>
      <c r="E821" s="47" t="s">
        <v>62</v>
      </c>
      <c r="F821" s="48" t="n">
        <v>167550.4</v>
      </c>
      <c r="G821" s="47" t="s">
        <v>65</v>
      </c>
      <c r="H821" s="47" t="s">
        <v>39</v>
      </c>
      <c r="I821" s="47" t="s">
        <v>145</v>
      </c>
      <c r="J821" s="47" t="s">
        <v>28</v>
      </c>
      <c r="K821" s="47" t="s">
        <v>34</v>
      </c>
    </row>
    <row r="822" customFormat="false" ht="15" hidden="false" customHeight="false" outlineLevel="0" collapsed="false">
      <c r="A822" s="0" t="s">
        <v>1552</v>
      </c>
      <c r="B822" s="0" t="s">
        <v>1553</v>
      </c>
      <c r="D822" s="46" t="n">
        <v>46227</v>
      </c>
      <c r="E822" s="47" t="s">
        <v>60</v>
      </c>
      <c r="F822" s="48" t="n">
        <v>125036.57</v>
      </c>
      <c r="G822" s="47" t="s">
        <v>66</v>
      </c>
      <c r="H822" s="47" t="s">
        <v>40</v>
      </c>
      <c r="I822" s="47" t="s">
        <v>83</v>
      </c>
      <c r="J822" s="47" t="s">
        <v>28</v>
      </c>
      <c r="K822" s="47" t="s">
        <v>33</v>
      </c>
    </row>
    <row r="823" customFormat="false" ht="15" hidden="false" customHeight="false" outlineLevel="0" collapsed="false">
      <c r="A823" s="0" t="s">
        <v>1554</v>
      </c>
      <c r="B823" s="0" t="s">
        <v>288</v>
      </c>
      <c r="D823" s="46" t="n">
        <v>46261</v>
      </c>
      <c r="E823" s="47" t="s">
        <v>53</v>
      </c>
      <c r="F823" s="48" t="n">
        <v>8127.34</v>
      </c>
      <c r="G823" s="47" t="s">
        <v>53</v>
      </c>
      <c r="H823" s="47" t="s">
        <v>44</v>
      </c>
      <c r="I823" s="47" t="s">
        <v>80</v>
      </c>
      <c r="J823" s="47" t="s">
        <v>28</v>
      </c>
      <c r="K823" s="47" t="s">
        <v>33</v>
      </c>
    </row>
    <row r="824" customFormat="false" ht="15" hidden="false" customHeight="false" outlineLevel="0" collapsed="false">
      <c r="A824" s="0" t="s">
        <v>1555</v>
      </c>
      <c r="B824" s="0" t="s">
        <v>1556</v>
      </c>
      <c r="C824" s="0" t="s">
        <v>1557</v>
      </c>
      <c r="D824" s="46" t="n">
        <v>45892</v>
      </c>
      <c r="E824" s="47" t="s">
        <v>62</v>
      </c>
      <c r="F824" s="48" t="n">
        <v>44552.51</v>
      </c>
      <c r="G824" s="47" t="s">
        <v>57</v>
      </c>
      <c r="H824" s="47" t="s">
        <v>47</v>
      </c>
      <c r="I824" s="47" t="s">
        <v>166</v>
      </c>
      <c r="J824" s="47" t="s">
        <v>28</v>
      </c>
      <c r="K824" s="47" t="s">
        <v>34</v>
      </c>
    </row>
    <row r="825" customFormat="false" ht="15" hidden="false" customHeight="false" outlineLevel="0" collapsed="false">
      <c r="A825" s="0" t="s">
        <v>1558</v>
      </c>
      <c r="B825" s="0" t="s">
        <v>1559</v>
      </c>
      <c r="D825" s="46" t="n">
        <v>46022</v>
      </c>
      <c r="E825" s="47" t="s">
        <v>55</v>
      </c>
      <c r="F825" s="48" t="n">
        <v>176701.34</v>
      </c>
      <c r="G825" s="47" t="s">
        <v>53</v>
      </c>
      <c r="H825" s="47" t="s">
        <v>46</v>
      </c>
      <c r="I825" s="47" t="s">
        <v>242</v>
      </c>
      <c r="J825" s="47" t="s">
        <v>30</v>
      </c>
      <c r="K825" s="47" t="s">
        <v>33</v>
      </c>
    </row>
    <row r="826" customFormat="false" ht="15" hidden="false" customHeight="false" outlineLevel="0" collapsed="false">
      <c r="A826" s="0" t="s">
        <v>1560</v>
      </c>
      <c r="B826" s="0" t="s">
        <v>804</v>
      </c>
      <c r="C826" s="0" t="s">
        <v>1561</v>
      </c>
      <c r="D826" s="46" t="n">
        <v>45763</v>
      </c>
      <c r="E826" s="47" t="s">
        <v>53</v>
      </c>
      <c r="F826" s="48" t="n">
        <v>155567.06</v>
      </c>
      <c r="G826" s="47" t="s">
        <v>68</v>
      </c>
      <c r="H826" s="47" t="s">
        <v>40</v>
      </c>
      <c r="I826" s="47" t="s">
        <v>83</v>
      </c>
      <c r="J826" s="47" t="s">
        <v>30</v>
      </c>
      <c r="K826" s="47" t="s">
        <v>33</v>
      </c>
    </row>
    <row r="827" customFormat="false" ht="15" hidden="false" customHeight="false" outlineLevel="0" collapsed="false">
      <c r="A827" s="0" t="s">
        <v>1562</v>
      </c>
      <c r="B827" s="0" t="s">
        <v>1563</v>
      </c>
      <c r="D827" s="46" t="n">
        <v>46144</v>
      </c>
      <c r="E827" s="47" t="s">
        <v>61</v>
      </c>
      <c r="F827" s="48" t="n">
        <v>23774.3</v>
      </c>
      <c r="G827" s="47" t="s">
        <v>66</v>
      </c>
      <c r="H827" s="47" t="s">
        <v>46</v>
      </c>
      <c r="I827" s="47" t="s">
        <v>121</v>
      </c>
      <c r="J827" s="47" t="s">
        <v>29</v>
      </c>
      <c r="K827" s="47" t="s">
        <v>33</v>
      </c>
    </row>
    <row r="828" customFormat="false" ht="15" hidden="false" customHeight="false" outlineLevel="0" collapsed="false">
      <c r="A828" s="0" t="s">
        <v>1564</v>
      </c>
      <c r="B828" s="0" t="s">
        <v>494</v>
      </c>
      <c r="D828" s="46" t="n">
        <v>45946</v>
      </c>
      <c r="E828" s="47" t="s">
        <v>60</v>
      </c>
      <c r="F828" s="48" t="n">
        <v>28109.36</v>
      </c>
      <c r="G828" s="47" t="s">
        <v>66</v>
      </c>
      <c r="H828" s="47" t="s">
        <v>39</v>
      </c>
      <c r="I828" s="47" t="s">
        <v>145</v>
      </c>
      <c r="J828" s="47" t="s">
        <v>28</v>
      </c>
      <c r="K828" s="47" t="s">
        <v>33</v>
      </c>
    </row>
    <row r="829" customFormat="false" ht="15" hidden="false" customHeight="false" outlineLevel="0" collapsed="false">
      <c r="A829" s="0" t="s">
        <v>1565</v>
      </c>
      <c r="B829" s="0" t="s">
        <v>457</v>
      </c>
      <c r="D829" s="46" t="n">
        <v>46198</v>
      </c>
      <c r="E829" s="47" t="s">
        <v>61</v>
      </c>
      <c r="F829" s="48" t="n">
        <v>128838.02</v>
      </c>
      <c r="G829" s="47" t="s">
        <v>66</v>
      </c>
      <c r="H829" s="47" t="s">
        <v>39</v>
      </c>
      <c r="I829" s="47" t="s">
        <v>177</v>
      </c>
      <c r="J829" s="47" t="s">
        <v>28</v>
      </c>
      <c r="K829" s="47" t="s">
        <v>34</v>
      </c>
    </row>
    <row r="830" customFormat="false" ht="15" hidden="false" customHeight="false" outlineLevel="0" collapsed="false">
      <c r="A830" s="0" t="s">
        <v>1566</v>
      </c>
      <c r="B830" s="0" t="s">
        <v>1567</v>
      </c>
      <c r="D830" s="46" t="n">
        <v>45837</v>
      </c>
      <c r="E830" s="47" t="s">
        <v>53</v>
      </c>
      <c r="F830" s="48" t="n">
        <v>190759.92</v>
      </c>
      <c r="G830" s="47" t="s">
        <v>66</v>
      </c>
      <c r="H830" s="47" t="s">
        <v>43</v>
      </c>
      <c r="I830" s="47" t="s">
        <v>201</v>
      </c>
      <c r="J830" s="47" t="s">
        <v>28</v>
      </c>
      <c r="K830" s="47" t="s">
        <v>33</v>
      </c>
    </row>
    <row r="831" customFormat="false" ht="15" hidden="false" customHeight="false" outlineLevel="0" collapsed="false">
      <c r="A831" s="0" t="s">
        <v>1568</v>
      </c>
      <c r="B831" s="0" t="s">
        <v>291</v>
      </c>
      <c r="D831" s="46" t="n">
        <v>46109</v>
      </c>
      <c r="E831" s="47" t="s">
        <v>62</v>
      </c>
      <c r="F831" s="48" t="n">
        <v>77890.85</v>
      </c>
      <c r="G831" s="47" t="s">
        <v>53</v>
      </c>
      <c r="H831" s="47" t="s">
        <v>41</v>
      </c>
      <c r="I831" s="47" t="s">
        <v>293</v>
      </c>
      <c r="J831" s="47" t="s">
        <v>28</v>
      </c>
      <c r="K831" s="47" t="s">
        <v>33</v>
      </c>
    </row>
    <row r="832" customFormat="false" ht="15" hidden="false" customHeight="false" outlineLevel="0" collapsed="false">
      <c r="A832" s="0" t="s">
        <v>1569</v>
      </c>
      <c r="B832" s="0" t="s">
        <v>1570</v>
      </c>
      <c r="D832" s="46" t="n">
        <v>45975</v>
      </c>
      <c r="E832" s="47" t="s">
        <v>53</v>
      </c>
      <c r="F832" s="48" t="n">
        <v>128826.45</v>
      </c>
      <c r="G832" s="47" t="s">
        <v>65</v>
      </c>
      <c r="H832" s="47" t="s">
        <v>45</v>
      </c>
      <c r="I832" s="47" t="s">
        <v>95</v>
      </c>
      <c r="J832" s="47" t="s">
        <v>28</v>
      </c>
      <c r="K832" s="47" t="s">
        <v>33</v>
      </c>
    </row>
    <row r="833" customFormat="false" ht="15" hidden="false" customHeight="false" outlineLevel="0" collapsed="false">
      <c r="A833" s="0" t="s">
        <v>1571</v>
      </c>
      <c r="B833" s="0" t="s">
        <v>1348</v>
      </c>
      <c r="C833" s="0" t="s">
        <v>1572</v>
      </c>
      <c r="D833" s="46" t="n">
        <v>45877</v>
      </c>
      <c r="E833" s="47" t="s">
        <v>62</v>
      </c>
      <c r="F833" s="48" t="n">
        <v>13032.71</v>
      </c>
      <c r="G833" s="47" t="s">
        <v>57</v>
      </c>
      <c r="H833" s="47" t="s">
        <v>42</v>
      </c>
      <c r="I833" s="47" t="s">
        <v>105</v>
      </c>
      <c r="J833" s="47" t="s">
        <v>29</v>
      </c>
      <c r="K833" s="47" t="s">
        <v>34</v>
      </c>
    </row>
    <row r="834" customFormat="false" ht="15" hidden="false" customHeight="false" outlineLevel="0" collapsed="false">
      <c r="A834" s="0" t="s">
        <v>1573</v>
      </c>
      <c r="B834" s="0" t="s">
        <v>989</v>
      </c>
      <c r="D834" s="46" t="n">
        <v>46250</v>
      </c>
      <c r="E834" s="47" t="s">
        <v>59</v>
      </c>
      <c r="F834" s="48" t="n">
        <v>89685.47</v>
      </c>
      <c r="G834" s="47" t="s">
        <v>65</v>
      </c>
      <c r="H834" s="47" t="s">
        <v>48</v>
      </c>
      <c r="I834" s="47" t="s">
        <v>212</v>
      </c>
      <c r="J834" s="47" t="s">
        <v>28</v>
      </c>
      <c r="K834" s="47" t="s">
        <v>34</v>
      </c>
    </row>
    <row r="835" customFormat="false" ht="15" hidden="false" customHeight="false" outlineLevel="0" collapsed="false">
      <c r="A835" s="0" t="s">
        <v>1574</v>
      </c>
      <c r="B835" s="0" t="s">
        <v>1575</v>
      </c>
      <c r="D835" s="46" t="n">
        <v>46008</v>
      </c>
      <c r="E835" s="47" t="s">
        <v>61</v>
      </c>
      <c r="F835" s="48" t="n">
        <v>306.5</v>
      </c>
      <c r="G835" s="47" t="s">
        <v>65</v>
      </c>
      <c r="H835" s="47" t="s">
        <v>41</v>
      </c>
      <c r="I835" s="47" t="s">
        <v>293</v>
      </c>
      <c r="J835" s="47" t="s">
        <v>29</v>
      </c>
      <c r="K835" s="47" t="s">
        <v>34</v>
      </c>
    </row>
    <row r="836" customFormat="false" ht="15" hidden="false" customHeight="false" outlineLevel="0" collapsed="false">
      <c r="A836" s="0" t="s">
        <v>1576</v>
      </c>
      <c r="B836" s="0" t="s">
        <v>330</v>
      </c>
      <c r="D836" s="46" t="n">
        <v>45845</v>
      </c>
      <c r="E836" s="47" t="s">
        <v>59</v>
      </c>
      <c r="F836" s="48" t="n">
        <v>98673.84</v>
      </c>
      <c r="G836" s="47" t="s">
        <v>66</v>
      </c>
      <c r="H836" s="47" t="s">
        <v>43</v>
      </c>
      <c r="I836" s="47" t="s">
        <v>201</v>
      </c>
      <c r="J836" s="47" t="s">
        <v>28</v>
      </c>
      <c r="K836" s="47" t="s">
        <v>33</v>
      </c>
    </row>
    <row r="837" customFormat="false" ht="15" hidden="false" customHeight="false" outlineLevel="0" collapsed="false">
      <c r="A837" s="0" t="s">
        <v>1577</v>
      </c>
      <c r="B837" s="0" t="s">
        <v>1578</v>
      </c>
      <c r="D837" s="46" t="n">
        <v>46185</v>
      </c>
      <c r="E837" s="47" t="s">
        <v>55</v>
      </c>
      <c r="F837" s="48" t="n">
        <v>88144.08</v>
      </c>
      <c r="G837" s="47" t="s">
        <v>66</v>
      </c>
      <c r="H837" s="47" t="s">
        <v>46</v>
      </c>
      <c r="I837" s="47" t="s">
        <v>121</v>
      </c>
      <c r="J837" s="47" t="s">
        <v>28</v>
      </c>
      <c r="K837" s="47" t="s">
        <v>33</v>
      </c>
    </row>
    <row r="838" customFormat="false" ht="15" hidden="false" customHeight="false" outlineLevel="0" collapsed="false">
      <c r="A838" s="0" t="s">
        <v>1579</v>
      </c>
      <c r="B838" s="0" t="s">
        <v>1580</v>
      </c>
      <c r="C838" s="0" t="s">
        <v>1581</v>
      </c>
      <c r="D838" s="46" t="n">
        <v>46081</v>
      </c>
      <c r="E838" s="47" t="s">
        <v>60</v>
      </c>
      <c r="F838" s="48" t="n">
        <v>57358.71</v>
      </c>
      <c r="G838" s="47" t="s">
        <v>66</v>
      </c>
      <c r="H838" s="47" t="s">
        <v>42</v>
      </c>
      <c r="I838" s="47" t="s">
        <v>398</v>
      </c>
      <c r="J838" s="47" t="s">
        <v>28</v>
      </c>
      <c r="K838" s="47" t="s">
        <v>34</v>
      </c>
    </row>
    <row r="839" customFormat="false" ht="15" hidden="false" customHeight="false" outlineLevel="0" collapsed="false">
      <c r="A839" s="0" t="s">
        <v>1582</v>
      </c>
      <c r="B839" s="0" t="s">
        <v>1311</v>
      </c>
      <c r="D839" s="46" t="n">
        <v>45753</v>
      </c>
      <c r="E839" s="47" t="s">
        <v>60</v>
      </c>
      <c r="F839" s="48" t="n">
        <v>167734.6</v>
      </c>
      <c r="G839" s="47" t="s">
        <v>57</v>
      </c>
      <c r="H839" s="47" t="s">
        <v>45</v>
      </c>
      <c r="I839" s="47" t="s">
        <v>151</v>
      </c>
      <c r="J839" s="47" t="s">
        <v>28</v>
      </c>
      <c r="K839" s="47" t="s">
        <v>34</v>
      </c>
    </row>
    <row r="840" customFormat="false" ht="15" hidden="false" customHeight="false" outlineLevel="0" collapsed="false">
      <c r="A840" s="0" t="s">
        <v>1583</v>
      </c>
      <c r="B840" s="0" t="s">
        <v>1578</v>
      </c>
      <c r="D840" s="46" t="n">
        <v>46085</v>
      </c>
      <c r="E840" s="47" t="s">
        <v>58</v>
      </c>
      <c r="F840" s="48" t="n">
        <v>114786.53</v>
      </c>
      <c r="G840" s="47" t="s">
        <v>53</v>
      </c>
      <c r="H840" s="47" t="s">
        <v>46</v>
      </c>
      <c r="I840" s="47" t="s">
        <v>121</v>
      </c>
      <c r="J840" s="47" t="s">
        <v>30</v>
      </c>
      <c r="K840" s="47" t="s">
        <v>34</v>
      </c>
    </row>
    <row r="841" customFormat="false" ht="15" hidden="false" customHeight="false" outlineLevel="0" collapsed="false">
      <c r="A841" s="0" t="s">
        <v>1584</v>
      </c>
      <c r="B841" s="0" t="s">
        <v>1139</v>
      </c>
      <c r="D841" s="46" t="n">
        <v>45830</v>
      </c>
      <c r="E841" s="47" t="s">
        <v>60</v>
      </c>
      <c r="F841" s="48" t="n">
        <v>112998.63</v>
      </c>
      <c r="G841" s="47" t="s">
        <v>65</v>
      </c>
      <c r="H841" s="47" t="s">
        <v>40</v>
      </c>
      <c r="I841" s="47" t="s">
        <v>89</v>
      </c>
      <c r="J841" s="47" t="s">
        <v>28</v>
      </c>
      <c r="K841" s="47" t="s">
        <v>34</v>
      </c>
    </row>
    <row r="842" customFormat="false" ht="15" hidden="false" customHeight="false" outlineLevel="0" collapsed="false">
      <c r="A842" s="0" t="s">
        <v>1585</v>
      </c>
      <c r="B842" s="0" t="s">
        <v>509</v>
      </c>
      <c r="D842" s="46" t="n">
        <v>46101</v>
      </c>
      <c r="E842" s="47" t="s">
        <v>60</v>
      </c>
      <c r="F842" s="48" t="n">
        <v>165522.94</v>
      </c>
      <c r="G842" s="47" t="s">
        <v>68</v>
      </c>
      <c r="H842" s="47" t="s">
        <v>46</v>
      </c>
      <c r="I842" s="47" t="s">
        <v>121</v>
      </c>
      <c r="J842" s="47" t="s">
        <v>28</v>
      </c>
      <c r="K842" s="47" t="s">
        <v>34</v>
      </c>
    </row>
    <row r="843" customFormat="false" ht="15" hidden="false" customHeight="false" outlineLevel="0" collapsed="false">
      <c r="A843" s="0" t="s">
        <v>1586</v>
      </c>
      <c r="B843" s="0" t="s">
        <v>1102</v>
      </c>
      <c r="D843" s="46" t="n">
        <v>45829</v>
      </c>
      <c r="E843" s="47" t="s">
        <v>60</v>
      </c>
      <c r="F843" s="48" t="n">
        <v>108144.38</v>
      </c>
      <c r="G843" s="47" t="s">
        <v>68</v>
      </c>
      <c r="H843" s="47" t="s">
        <v>42</v>
      </c>
      <c r="I843" s="47" t="s">
        <v>105</v>
      </c>
      <c r="J843" s="47" t="s">
        <v>28</v>
      </c>
      <c r="K843" s="47" t="s">
        <v>33</v>
      </c>
    </row>
    <row r="844" customFormat="false" ht="15" hidden="false" customHeight="false" outlineLevel="0" collapsed="false">
      <c r="A844" s="0" t="s">
        <v>1587</v>
      </c>
      <c r="B844" s="0" t="s">
        <v>301</v>
      </c>
      <c r="D844" s="46" t="n">
        <v>46213</v>
      </c>
      <c r="E844" s="47" t="s">
        <v>58</v>
      </c>
      <c r="F844" s="48" t="n">
        <v>56308.91</v>
      </c>
      <c r="G844" s="47" t="s">
        <v>65</v>
      </c>
      <c r="H844" s="47" t="s">
        <v>39</v>
      </c>
      <c r="I844" s="47" t="s">
        <v>177</v>
      </c>
      <c r="J844" s="47" t="s">
        <v>28</v>
      </c>
      <c r="K844" s="47" t="s">
        <v>34</v>
      </c>
    </row>
    <row r="845" customFormat="false" ht="15" hidden="false" customHeight="false" outlineLevel="0" collapsed="false">
      <c r="A845" s="0" t="s">
        <v>1588</v>
      </c>
      <c r="B845" s="0" t="s">
        <v>144</v>
      </c>
      <c r="D845" s="46" t="n">
        <v>45779</v>
      </c>
      <c r="E845" s="47" t="s">
        <v>60</v>
      </c>
      <c r="F845" s="48" t="n">
        <v>58887.98</v>
      </c>
      <c r="G845" s="47" t="s">
        <v>65</v>
      </c>
      <c r="H845" s="47" t="s">
        <v>39</v>
      </c>
      <c r="I845" s="47" t="s">
        <v>145</v>
      </c>
      <c r="J845" s="47" t="s">
        <v>28</v>
      </c>
      <c r="K845" s="47" t="s">
        <v>34</v>
      </c>
    </row>
    <row r="846" customFormat="false" ht="15" hidden="false" customHeight="false" outlineLevel="0" collapsed="false">
      <c r="A846" s="0" t="s">
        <v>1589</v>
      </c>
      <c r="B846" s="0" t="s">
        <v>1590</v>
      </c>
      <c r="C846" s="0" t="s">
        <v>1591</v>
      </c>
      <c r="D846" s="46" t="n">
        <v>46003</v>
      </c>
      <c r="E846" s="47" t="s">
        <v>60</v>
      </c>
      <c r="F846" s="48" t="n">
        <v>17411.69</v>
      </c>
      <c r="G846" s="47" t="s">
        <v>53</v>
      </c>
      <c r="H846" s="47" t="s">
        <v>44</v>
      </c>
      <c r="I846" s="47" t="s">
        <v>132</v>
      </c>
      <c r="J846" s="47" t="s">
        <v>28</v>
      </c>
      <c r="K846" s="47" t="s">
        <v>33</v>
      </c>
    </row>
    <row r="847" customFormat="false" ht="15" hidden="false" customHeight="false" outlineLevel="0" collapsed="false">
      <c r="A847" s="0" t="s">
        <v>1592</v>
      </c>
      <c r="B847" s="0" t="s">
        <v>1207</v>
      </c>
      <c r="D847" s="46" t="n">
        <v>46155</v>
      </c>
      <c r="E847" s="47" t="s">
        <v>60</v>
      </c>
      <c r="F847" s="48" t="n">
        <v>15975.56</v>
      </c>
      <c r="G847" s="47" t="s">
        <v>68</v>
      </c>
      <c r="H847" s="47" t="s">
        <v>45</v>
      </c>
      <c r="I847" s="47" t="s">
        <v>151</v>
      </c>
      <c r="J847" s="47" t="s">
        <v>28</v>
      </c>
      <c r="K847" s="47" t="s">
        <v>34</v>
      </c>
    </row>
    <row r="848" customFormat="false" ht="15" hidden="false" customHeight="false" outlineLevel="0" collapsed="false">
      <c r="A848" s="0" t="s">
        <v>1593</v>
      </c>
      <c r="B848" s="0" t="s">
        <v>207</v>
      </c>
      <c r="D848" s="46" t="n">
        <v>46075</v>
      </c>
      <c r="E848" s="47" t="s">
        <v>60</v>
      </c>
      <c r="F848" s="48" t="n">
        <v>60245.96</v>
      </c>
      <c r="G848" s="47" t="s">
        <v>68</v>
      </c>
      <c r="H848" s="47" t="s">
        <v>45</v>
      </c>
      <c r="I848" s="47" t="s">
        <v>151</v>
      </c>
      <c r="J848" s="47" t="s">
        <v>28</v>
      </c>
      <c r="K848" s="47" t="s">
        <v>34</v>
      </c>
    </row>
    <row r="849" customFormat="false" ht="15" hidden="false" customHeight="false" outlineLevel="0" collapsed="false">
      <c r="A849" s="0" t="s">
        <v>1594</v>
      </c>
      <c r="B849" s="0" t="s">
        <v>141</v>
      </c>
      <c r="D849" s="46" t="n">
        <v>46092</v>
      </c>
      <c r="E849" s="47" t="s">
        <v>55</v>
      </c>
      <c r="F849" s="48" t="n">
        <v>35232.66</v>
      </c>
      <c r="G849" s="47" t="s">
        <v>65</v>
      </c>
      <c r="H849" s="47" t="s">
        <v>48</v>
      </c>
      <c r="I849" s="47" t="s">
        <v>111</v>
      </c>
      <c r="J849" s="47" t="s">
        <v>28</v>
      </c>
      <c r="K849" s="47" t="s">
        <v>34</v>
      </c>
    </row>
    <row r="850" customFormat="false" ht="15" hidden="false" customHeight="false" outlineLevel="0" collapsed="false">
      <c r="A850" s="0" t="s">
        <v>1595</v>
      </c>
      <c r="B850" s="0" t="s">
        <v>125</v>
      </c>
      <c r="D850" s="46" t="n">
        <v>46229</v>
      </c>
      <c r="E850" s="47" t="s">
        <v>61</v>
      </c>
      <c r="F850" s="48" t="n">
        <v>77853.83</v>
      </c>
      <c r="G850" s="47" t="s">
        <v>65</v>
      </c>
      <c r="H850" s="47" t="s">
        <v>46</v>
      </c>
      <c r="I850" s="47" t="s">
        <v>121</v>
      </c>
      <c r="J850" s="47" t="s">
        <v>28</v>
      </c>
      <c r="K850" s="47" t="s">
        <v>34</v>
      </c>
    </row>
    <row r="851" customFormat="false" ht="15" hidden="false" customHeight="false" outlineLevel="0" collapsed="false">
      <c r="A851" s="0" t="s">
        <v>1596</v>
      </c>
      <c r="B851" s="0" t="s">
        <v>1597</v>
      </c>
      <c r="D851" s="46" t="n">
        <v>45837</v>
      </c>
      <c r="E851" s="47" t="s">
        <v>61</v>
      </c>
      <c r="F851" s="48" t="n">
        <v>39870.71</v>
      </c>
      <c r="G851" s="47" t="s">
        <v>65</v>
      </c>
      <c r="H851" s="47" t="s">
        <v>44</v>
      </c>
      <c r="I851" s="47" t="s">
        <v>132</v>
      </c>
      <c r="J851" s="47" t="s">
        <v>28</v>
      </c>
      <c r="K851" s="47" t="s">
        <v>33</v>
      </c>
    </row>
    <row r="852" customFormat="false" ht="15" hidden="false" customHeight="false" outlineLevel="0" collapsed="false">
      <c r="A852" s="0" t="s">
        <v>1598</v>
      </c>
      <c r="B852" s="0" t="s">
        <v>1599</v>
      </c>
      <c r="D852" s="46" t="n">
        <v>45859</v>
      </c>
      <c r="E852" s="47" t="s">
        <v>55</v>
      </c>
      <c r="F852" s="48" t="n">
        <v>165193.78</v>
      </c>
      <c r="G852" s="47" t="s">
        <v>65</v>
      </c>
      <c r="H852" s="47" t="s">
        <v>44</v>
      </c>
      <c r="I852" s="47" t="s">
        <v>80</v>
      </c>
      <c r="J852" s="47" t="s">
        <v>28</v>
      </c>
      <c r="K852" s="47" t="s">
        <v>34</v>
      </c>
    </row>
    <row r="853" customFormat="false" ht="15" hidden="false" customHeight="false" outlineLevel="0" collapsed="false">
      <c r="A853" s="0" t="s">
        <v>1600</v>
      </c>
      <c r="B853" s="0" t="s">
        <v>1601</v>
      </c>
      <c r="C853" s="0" t="s">
        <v>1602</v>
      </c>
      <c r="D853" s="46" t="n">
        <v>46164</v>
      </c>
      <c r="E853" s="47" t="s">
        <v>55</v>
      </c>
      <c r="F853" s="48" t="n">
        <v>193796.86</v>
      </c>
      <c r="G853" s="47" t="s">
        <v>57</v>
      </c>
      <c r="H853" s="47" t="s">
        <v>48</v>
      </c>
      <c r="I853" s="47" t="s">
        <v>114</v>
      </c>
      <c r="J853" s="47" t="s">
        <v>28</v>
      </c>
      <c r="K853" s="47" t="s">
        <v>34</v>
      </c>
    </row>
    <row r="854" customFormat="false" ht="15" hidden="false" customHeight="false" outlineLevel="0" collapsed="false">
      <c r="A854" s="0" t="s">
        <v>1603</v>
      </c>
      <c r="B854" s="0" t="s">
        <v>1604</v>
      </c>
      <c r="D854" s="46" t="n">
        <v>46069</v>
      </c>
      <c r="E854" s="47" t="s">
        <v>62</v>
      </c>
      <c r="F854" s="48" t="n">
        <v>83197.97</v>
      </c>
      <c r="G854" s="47" t="s">
        <v>53</v>
      </c>
      <c r="H854" s="47" t="s">
        <v>44</v>
      </c>
      <c r="I854" s="47" t="s">
        <v>226</v>
      </c>
      <c r="J854" s="47" t="s">
        <v>28</v>
      </c>
      <c r="K854" s="47" t="s">
        <v>34</v>
      </c>
    </row>
    <row r="855" customFormat="false" ht="15" hidden="false" customHeight="false" outlineLevel="0" collapsed="false">
      <c r="A855" s="0" t="s">
        <v>1605</v>
      </c>
      <c r="B855" s="0" t="s">
        <v>1606</v>
      </c>
      <c r="C855" s="0" t="s">
        <v>1607</v>
      </c>
      <c r="D855" s="46" t="n">
        <v>45755</v>
      </c>
      <c r="E855" s="47" t="s">
        <v>62</v>
      </c>
      <c r="F855" s="48" t="n">
        <v>123903.17</v>
      </c>
      <c r="G855" s="47" t="s">
        <v>57</v>
      </c>
      <c r="H855" s="47" t="s">
        <v>43</v>
      </c>
      <c r="I855" s="47" t="s">
        <v>117</v>
      </c>
      <c r="J855" s="47" t="s">
        <v>28</v>
      </c>
      <c r="K855" s="47" t="s">
        <v>33</v>
      </c>
    </row>
    <row r="856" customFormat="false" ht="15" hidden="false" customHeight="false" outlineLevel="0" collapsed="false">
      <c r="A856" s="0" t="s">
        <v>1608</v>
      </c>
      <c r="B856" s="0" t="s">
        <v>244</v>
      </c>
      <c r="D856" s="46" t="n">
        <v>45727</v>
      </c>
      <c r="E856" s="47" t="s">
        <v>53</v>
      </c>
      <c r="F856" s="48" t="n">
        <v>48036.11</v>
      </c>
      <c r="G856" s="47" t="s">
        <v>68</v>
      </c>
      <c r="H856" s="47" t="s">
        <v>47</v>
      </c>
      <c r="I856" s="47" t="s">
        <v>245</v>
      </c>
      <c r="J856" s="47" t="s">
        <v>28</v>
      </c>
      <c r="K856" s="47" t="s">
        <v>33</v>
      </c>
    </row>
    <row r="857" customFormat="false" ht="15" hidden="false" customHeight="false" outlineLevel="0" collapsed="false">
      <c r="A857" s="0" t="s">
        <v>1609</v>
      </c>
      <c r="B857" s="0" t="s">
        <v>207</v>
      </c>
      <c r="D857" s="46" t="n">
        <v>46208</v>
      </c>
      <c r="E857" s="47" t="s">
        <v>55</v>
      </c>
      <c r="F857" s="48" t="n">
        <v>132005.7</v>
      </c>
      <c r="G857" s="47" t="s">
        <v>68</v>
      </c>
      <c r="H857" s="47" t="s">
        <v>45</v>
      </c>
      <c r="I857" s="47" t="s">
        <v>151</v>
      </c>
      <c r="J857" s="47" t="s">
        <v>28</v>
      </c>
      <c r="K857" s="47" t="s">
        <v>34</v>
      </c>
    </row>
    <row r="858" customFormat="false" ht="15" hidden="false" customHeight="false" outlineLevel="0" collapsed="false">
      <c r="A858" s="0" t="s">
        <v>1610</v>
      </c>
      <c r="B858" s="0" t="s">
        <v>974</v>
      </c>
      <c r="D858" s="46" t="n">
        <v>45898</v>
      </c>
      <c r="E858" s="47" t="s">
        <v>60</v>
      </c>
      <c r="F858" s="48" t="n">
        <v>110058.52</v>
      </c>
      <c r="G858" s="47" t="s">
        <v>65</v>
      </c>
      <c r="H858" s="47" t="s">
        <v>43</v>
      </c>
      <c r="I858" s="47" t="s">
        <v>201</v>
      </c>
      <c r="J858" s="47" t="s">
        <v>28</v>
      </c>
      <c r="K858" s="47" t="s">
        <v>34</v>
      </c>
    </row>
    <row r="859" customFormat="false" ht="15" hidden="false" customHeight="false" outlineLevel="0" collapsed="false">
      <c r="A859" s="0" t="s">
        <v>1611</v>
      </c>
      <c r="B859" s="0" t="s">
        <v>1612</v>
      </c>
      <c r="D859" s="46" t="n">
        <v>45961</v>
      </c>
      <c r="E859" s="47" t="s">
        <v>59</v>
      </c>
      <c r="F859" s="48" t="n">
        <v>46313.03</v>
      </c>
      <c r="G859" s="47" t="s">
        <v>66</v>
      </c>
      <c r="H859" s="47" t="s">
        <v>41</v>
      </c>
      <c r="I859" s="47" t="s">
        <v>293</v>
      </c>
      <c r="J859" s="47" t="s">
        <v>29</v>
      </c>
      <c r="K859" s="47" t="s">
        <v>34</v>
      </c>
    </row>
    <row r="860" customFormat="false" ht="15" hidden="false" customHeight="false" outlineLevel="0" collapsed="false">
      <c r="A860" s="0" t="s">
        <v>1613</v>
      </c>
      <c r="B860" s="0" t="s">
        <v>1614</v>
      </c>
      <c r="D860" s="46" t="n">
        <v>46099</v>
      </c>
      <c r="E860" s="47" t="s">
        <v>55</v>
      </c>
      <c r="F860" s="48" t="n">
        <v>129016.1</v>
      </c>
      <c r="G860" s="47" t="s">
        <v>57</v>
      </c>
      <c r="H860" s="47" t="s">
        <v>45</v>
      </c>
      <c r="I860" s="47" t="s">
        <v>151</v>
      </c>
      <c r="J860" s="47" t="s">
        <v>30</v>
      </c>
      <c r="K860" s="47" t="s">
        <v>33</v>
      </c>
    </row>
    <row r="861" customFormat="false" ht="15" hidden="false" customHeight="false" outlineLevel="0" collapsed="false">
      <c r="A861" s="0" t="s">
        <v>1615</v>
      </c>
      <c r="B861" s="0" t="s">
        <v>814</v>
      </c>
      <c r="D861" s="46" t="n">
        <v>45784</v>
      </c>
      <c r="E861" s="47" t="s">
        <v>53</v>
      </c>
      <c r="F861" s="48" t="n">
        <v>69901.79</v>
      </c>
      <c r="G861" s="47" t="s">
        <v>57</v>
      </c>
      <c r="H861" s="47" t="s">
        <v>41</v>
      </c>
      <c r="I861" s="47" t="s">
        <v>293</v>
      </c>
      <c r="J861" s="47" t="s">
        <v>28</v>
      </c>
      <c r="K861" s="47" t="s">
        <v>34</v>
      </c>
    </row>
    <row r="862" customFormat="false" ht="15" hidden="false" customHeight="false" outlineLevel="0" collapsed="false">
      <c r="A862" s="0" t="s">
        <v>1616</v>
      </c>
      <c r="B862" s="0" t="s">
        <v>1485</v>
      </c>
      <c r="D862" s="46" t="n">
        <v>45908</v>
      </c>
      <c r="E862" s="47" t="s">
        <v>61</v>
      </c>
      <c r="F862" s="48" t="n">
        <v>36252.58</v>
      </c>
      <c r="G862" s="47" t="s">
        <v>57</v>
      </c>
      <c r="H862" s="47" t="s">
        <v>42</v>
      </c>
      <c r="I862" s="47" t="s">
        <v>105</v>
      </c>
      <c r="J862" s="47" t="s">
        <v>28</v>
      </c>
      <c r="K862" s="47" t="s">
        <v>34</v>
      </c>
    </row>
    <row r="863" customFormat="false" ht="15" hidden="false" customHeight="false" outlineLevel="0" collapsed="false">
      <c r="A863" s="0" t="s">
        <v>1617</v>
      </c>
      <c r="B863" s="0" t="s">
        <v>203</v>
      </c>
      <c r="D863" s="46" t="n">
        <v>45881</v>
      </c>
      <c r="E863" s="47" t="s">
        <v>61</v>
      </c>
      <c r="F863" s="48" t="n">
        <v>117725.79</v>
      </c>
      <c r="G863" s="47" t="s">
        <v>53</v>
      </c>
      <c r="H863" s="47" t="s">
        <v>39</v>
      </c>
      <c r="I863" s="47" t="s">
        <v>177</v>
      </c>
      <c r="J863" s="47" t="s">
        <v>28</v>
      </c>
      <c r="K863" s="47" t="s">
        <v>33</v>
      </c>
    </row>
    <row r="864" customFormat="false" ht="15" hidden="false" customHeight="false" outlineLevel="0" collapsed="false">
      <c r="A864" s="0" t="s">
        <v>1618</v>
      </c>
      <c r="B864" s="0" t="s">
        <v>1619</v>
      </c>
      <c r="D864" s="46" t="n">
        <v>46088</v>
      </c>
      <c r="E864" s="47" t="s">
        <v>53</v>
      </c>
      <c r="F864" s="48" t="n">
        <v>33556.42</v>
      </c>
      <c r="G864" s="47" t="s">
        <v>57</v>
      </c>
      <c r="H864" s="47" t="s">
        <v>48</v>
      </c>
      <c r="I864" s="47" t="s">
        <v>212</v>
      </c>
      <c r="J864" s="47" t="s">
        <v>28</v>
      </c>
      <c r="K864" s="47" t="s">
        <v>33</v>
      </c>
    </row>
    <row r="865" customFormat="false" ht="15" hidden="false" customHeight="false" outlineLevel="0" collapsed="false">
      <c r="A865" s="0" t="s">
        <v>1620</v>
      </c>
      <c r="B865" s="0" t="s">
        <v>674</v>
      </c>
      <c r="D865" s="46" t="n">
        <v>46184</v>
      </c>
      <c r="E865" s="47" t="s">
        <v>60</v>
      </c>
      <c r="F865" s="48" t="n">
        <v>74062.48</v>
      </c>
      <c r="G865" s="47" t="s">
        <v>57</v>
      </c>
      <c r="H865" s="47" t="s">
        <v>42</v>
      </c>
      <c r="I865" s="47" t="s">
        <v>105</v>
      </c>
      <c r="J865" s="47" t="s">
        <v>28</v>
      </c>
      <c r="K865" s="47" t="s">
        <v>33</v>
      </c>
    </row>
    <row r="866" customFormat="false" ht="15" hidden="false" customHeight="false" outlineLevel="0" collapsed="false">
      <c r="A866" s="0" t="s">
        <v>1621</v>
      </c>
      <c r="B866" s="0" t="s">
        <v>1622</v>
      </c>
      <c r="D866" s="46" t="n">
        <v>45746</v>
      </c>
      <c r="E866" s="47" t="s">
        <v>60</v>
      </c>
      <c r="F866" s="48" t="n">
        <v>26861.66</v>
      </c>
      <c r="G866" s="47" t="s">
        <v>65</v>
      </c>
      <c r="H866" s="47" t="s">
        <v>40</v>
      </c>
      <c r="I866" s="47" t="s">
        <v>83</v>
      </c>
      <c r="J866" s="47" t="s">
        <v>28</v>
      </c>
      <c r="K866" s="47" t="s">
        <v>33</v>
      </c>
    </row>
    <row r="867" customFormat="false" ht="15" hidden="false" customHeight="false" outlineLevel="0" collapsed="false">
      <c r="A867" s="0" t="s">
        <v>1623</v>
      </c>
      <c r="B867" s="0" t="s">
        <v>1256</v>
      </c>
      <c r="D867" s="46" t="n">
        <v>45950</v>
      </c>
      <c r="E867" s="47" t="s">
        <v>59</v>
      </c>
      <c r="F867" s="48" t="n">
        <v>141770.28</v>
      </c>
      <c r="G867" s="47" t="s">
        <v>65</v>
      </c>
      <c r="H867" s="47" t="s">
        <v>48</v>
      </c>
      <c r="I867" s="47" t="s">
        <v>111</v>
      </c>
      <c r="J867" s="47" t="s">
        <v>28</v>
      </c>
      <c r="K867" s="47" t="s">
        <v>33</v>
      </c>
    </row>
    <row r="868" customFormat="false" ht="15" hidden="false" customHeight="false" outlineLevel="0" collapsed="false">
      <c r="A868" s="0" t="s">
        <v>1624</v>
      </c>
      <c r="B868" s="0" t="s">
        <v>1490</v>
      </c>
      <c r="D868" s="46" t="n">
        <v>46294</v>
      </c>
      <c r="E868" s="47" t="s">
        <v>53</v>
      </c>
      <c r="F868" s="48" t="n">
        <v>3855.78</v>
      </c>
      <c r="G868" s="47" t="s">
        <v>53</v>
      </c>
      <c r="H868" s="47" t="s">
        <v>40</v>
      </c>
      <c r="I868" s="47" t="s">
        <v>83</v>
      </c>
      <c r="J868" s="47" t="s">
        <v>28</v>
      </c>
      <c r="K868" s="47" t="s">
        <v>34</v>
      </c>
    </row>
    <row r="869" customFormat="false" ht="15" hidden="false" customHeight="false" outlineLevel="0" collapsed="false">
      <c r="A869" s="0" t="s">
        <v>1625</v>
      </c>
      <c r="B869" s="0" t="s">
        <v>690</v>
      </c>
      <c r="D869" s="46" t="n">
        <v>45792</v>
      </c>
      <c r="E869" s="47" t="s">
        <v>62</v>
      </c>
      <c r="F869" s="48" t="n">
        <v>165506.6</v>
      </c>
      <c r="G869" s="47" t="s">
        <v>68</v>
      </c>
      <c r="H869" s="47" t="s">
        <v>43</v>
      </c>
      <c r="I869" s="47" t="s">
        <v>201</v>
      </c>
      <c r="J869" s="47" t="s">
        <v>28</v>
      </c>
      <c r="K869" s="47" t="s">
        <v>34</v>
      </c>
    </row>
    <row r="870" customFormat="false" ht="15" hidden="false" customHeight="false" outlineLevel="0" collapsed="false">
      <c r="A870" s="0" t="s">
        <v>1626</v>
      </c>
      <c r="B870" s="0" t="s">
        <v>1459</v>
      </c>
      <c r="D870" s="46" t="n">
        <v>45831</v>
      </c>
      <c r="E870" s="47" t="s">
        <v>60</v>
      </c>
      <c r="F870" s="48" t="n">
        <v>69770.08</v>
      </c>
      <c r="G870" s="47" t="s">
        <v>53</v>
      </c>
      <c r="H870" s="47" t="s">
        <v>45</v>
      </c>
      <c r="I870" s="47" t="s">
        <v>95</v>
      </c>
      <c r="J870" s="47" t="s">
        <v>28</v>
      </c>
      <c r="K870" s="47" t="s">
        <v>33</v>
      </c>
    </row>
    <row r="871" customFormat="false" ht="15" hidden="false" customHeight="false" outlineLevel="0" collapsed="false">
      <c r="A871" s="0" t="s">
        <v>1627</v>
      </c>
      <c r="B871" s="0" t="s">
        <v>1628</v>
      </c>
      <c r="D871" s="46" t="n">
        <v>46170</v>
      </c>
      <c r="E871" s="47" t="s">
        <v>53</v>
      </c>
      <c r="F871" s="48" t="n">
        <v>127415.57</v>
      </c>
      <c r="G871" s="47" t="s">
        <v>68</v>
      </c>
      <c r="H871" s="47" t="s">
        <v>45</v>
      </c>
      <c r="I871" s="47" t="s">
        <v>217</v>
      </c>
      <c r="J871" s="47" t="s">
        <v>28</v>
      </c>
      <c r="K871" s="47" t="s">
        <v>33</v>
      </c>
    </row>
    <row r="872" customFormat="false" ht="15" hidden="false" customHeight="false" outlineLevel="0" collapsed="false">
      <c r="A872" s="0" t="s">
        <v>1629</v>
      </c>
      <c r="B872" s="0" t="s">
        <v>540</v>
      </c>
      <c r="D872" s="46" t="n">
        <v>45721</v>
      </c>
      <c r="E872" s="47" t="s">
        <v>55</v>
      </c>
      <c r="F872" s="48" t="n">
        <v>109480.41</v>
      </c>
      <c r="G872" s="47" t="s">
        <v>57</v>
      </c>
      <c r="H872" s="47" t="s">
        <v>39</v>
      </c>
      <c r="I872" s="47" t="s">
        <v>145</v>
      </c>
      <c r="J872" s="47" t="s">
        <v>28</v>
      </c>
      <c r="K872" s="47" t="s">
        <v>34</v>
      </c>
    </row>
    <row r="873" customFormat="false" ht="15" hidden="false" customHeight="false" outlineLevel="0" collapsed="false">
      <c r="A873" s="0" t="s">
        <v>1630</v>
      </c>
      <c r="B873" s="0" t="s">
        <v>1631</v>
      </c>
      <c r="D873" s="46" t="n">
        <v>46257</v>
      </c>
      <c r="E873" s="47" t="s">
        <v>55</v>
      </c>
      <c r="F873" s="48" t="n">
        <v>46826.6</v>
      </c>
      <c r="G873" s="47" t="s">
        <v>66</v>
      </c>
      <c r="H873" s="47" t="s">
        <v>44</v>
      </c>
      <c r="I873" s="47" t="s">
        <v>132</v>
      </c>
      <c r="J873" s="47" t="s">
        <v>28</v>
      </c>
      <c r="K873" s="47" t="s">
        <v>34</v>
      </c>
    </row>
    <row r="874" customFormat="false" ht="15" hidden="false" customHeight="false" outlineLevel="0" collapsed="false">
      <c r="A874" s="0" t="s">
        <v>1632</v>
      </c>
      <c r="B874" s="0" t="s">
        <v>806</v>
      </c>
      <c r="D874" s="46" t="n">
        <v>45813</v>
      </c>
      <c r="E874" s="47" t="s">
        <v>62</v>
      </c>
      <c r="F874" s="48" t="n">
        <v>156782.51</v>
      </c>
      <c r="G874" s="47" t="s">
        <v>57</v>
      </c>
      <c r="H874" s="47" t="s">
        <v>47</v>
      </c>
      <c r="I874" s="47" t="s">
        <v>108</v>
      </c>
      <c r="J874" s="47" t="s">
        <v>28</v>
      </c>
      <c r="K874" s="47" t="s">
        <v>33</v>
      </c>
    </row>
    <row r="875" customFormat="false" ht="15" hidden="false" customHeight="false" outlineLevel="0" collapsed="false">
      <c r="A875" s="0" t="s">
        <v>1633</v>
      </c>
      <c r="B875" s="0" t="s">
        <v>1634</v>
      </c>
      <c r="D875" s="46" t="n">
        <v>46227</v>
      </c>
      <c r="E875" s="47" t="s">
        <v>55</v>
      </c>
      <c r="F875" s="48" t="n">
        <v>42144.13</v>
      </c>
      <c r="G875" s="47" t="s">
        <v>66</v>
      </c>
      <c r="H875" s="47" t="s">
        <v>44</v>
      </c>
      <c r="I875" s="47" t="s">
        <v>80</v>
      </c>
      <c r="J875" s="47" t="s">
        <v>28</v>
      </c>
      <c r="K875" s="47" t="s">
        <v>34</v>
      </c>
    </row>
    <row r="876" customFormat="false" ht="15" hidden="false" customHeight="false" outlineLevel="0" collapsed="false">
      <c r="A876" s="0" t="s">
        <v>1635</v>
      </c>
      <c r="B876" s="0" t="s">
        <v>864</v>
      </c>
      <c r="D876" s="46" t="n">
        <v>45842</v>
      </c>
      <c r="E876" s="47" t="s">
        <v>55</v>
      </c>
      <c r="F876" s="48" t="n">
        <v>2120.62</v>
      </c>
      <c r="G876" s="47" t="s">
        <v>68</v>
      </c>
      <c r="H876" s="47" t="s">
        <v>43</v>
      </c>
      <c r="I876" s="47" t="s">
        <v>201</v>
      </c>
      <c r="J876" s="47" t="s">
        <v>28</v>
      </c>
      <c r="K876" s="47" t="s">
        <v>34</v>
      </c>
    </row>
    <row r="877" customFormat="false" ht="15" hidden="false" customHeight="false" outlineLevel="0" collapsed="false">
      <c r="A877" s="0" t="s">
        <v>1636</v>
      </c>
      <c r="B877" s="0" t="s">
        <v>520</v>
      </c>
      <c r="D877" s="46" t="n">
        <v>46007</v>
      </c>
      <c r="E877" s="47" t="s">
        <v>62</v>
      </c>
      <c r="F877" s="48" t="n">
        <v>113679.24</v>
      </c>
      <c r="G877" s="47" t="s">
        <v>57</v>
      </c>
      <c r="H877" s="47" t="s">
        <v>47</v>
      </c>
      <c r="I877" s="47" t="s">
        <v>108</v>
      </c>
      <c r="J877" s="47" t="s">
        <v>28</v>
      </c>
      <c r="K877" s="47" t="s">
        <v>34</v>
      </c>
    </row>
    <row r="878" customFormat="false" ht="15" hidden="false" customHeight="false" outlineLevel="0" collapsed="false">
      <c r="A878" s="0" t="s">
        <v>1637</v>
      </c>
      <c r="B878" s="0" t="s">
        <v>1243</v>
      </c>
      <c r="D878" s="46" t="n">
        <v>46238</v>
      </c>
      <c r="E878" s="47" t="s">
        <v>62</v>
      </c>
      <c r="F878" s="48" t="n">
        <v>11400.99</v>
      </c>
      <c r="G878" s="47" t="s">
        <v>68</v>
      </c>
      <c r="H878" s="47" t="s">
        <v>44</v>
      </c>
      <c r="I878" s="47" t="s">
        <v>226</v>
      </c>
      <c r="J878" s="47" t="s">
        <v>28</v>
      </c>
      <c r="K878" s="47" t="s">
        <v>33</v>
      </c>
    </row>
    <row r="879" customFormat="false" ht="15" hidden="false" customHeight="false" outlineLevel="0" collapsed="false">
      <c r="A879" s="0" t="s">
        <v>1638</v>
      </c>
      <c r="B879" s="0" t="s">
        <v>237</v>
      </c>
      <c r="C879" s="0" t="s">
        <v>1639</v>
      </c>
      <c r="D879" s="46" t="n">
        <v>46274</v>
      </c>
      <c r="E879" s="47" t="s">
        <v>53</v>
      </c>
      <c r="F879" s="48" t="n">
        <v>9597.68</v>
      </c>
      <c r="G879" s="47" t="s">
        <v>65</v>
      </c>
      <c r="H879" s="47" t="s">
        <v>47</v>
      </c>
      <c r="I879" s="47" t="s">
        <v>108</v>
      </c>
      <c r="J879" s="47" t="s">
        <v>28</v>
      </c>
      <c r="K879" s="47" t="s">
        <v>34</v>
      </c>
    </row>
    <row r="880" customFormat="false" ht="15" hidden="false" customHeight="false" outlineLevel="0" collapsed="false">
      <c r="A880" s="0" t="s">
        <v>1640</v>
      </c>
      <c r="B880" s="0" t="s">
        <v>1641</v>
      </c>
      <c r="C880" s="0" t="s">
        <v>1642</v>
      </c>
      <c r="D880" s="46" t="n">
        <v>45872</v>
      </c>
      <c r="E880" s="47" t="s">
        <v>62</v>
      </c>
      <c r="F880" s="48" t="n">
        <v>95152.99</v>
      </c>
      <c r="G880" s="47" t="s">
        <v>53</v>
      </c>
      <c r="H880" s="47" t="s">
        <v>48</v>
      </c>
      <c r="I880" s="47" t="s">
        <v>212</v>
      </c>
      <c r="J880" s="47" t="s">
        <v>28</v>
      </c>
      <c r="K880" s="47" t="s">
        <v>34</v>
      </c>
    </row>
    <row r="881" customFormat="false" ht="15" hidden="false" customHeight="false" outlineLevel="0" collapsed="false">
      <c r="A881" s="0" t="s">
        <v>1643</v>
      </c>
      <c r="B881" s="0" t="s">
        <v>1644</v>
      </c>
      <c r="D881" s="46" t="n">
        <v>46285</v>
      </c>
      <c r="E881" s="47" t="s">
        <v>60</v>
      </c>
      <c r="F881" s="48" t="n">
        <v>160209.62</v>
      </c>
      <c r="G881" s="47" t="s">
        <v>68</v>
      </c>
      <c r="H881" s="47" t="s">
        <v>44</v>
      </c>
      <c r="I881" s="47" t="s">
        <v>226</v>
      </c>
      <c r="J881" s="47" t="s">
        <v>28</v>
      </c>
      <c r="K881" s="47" t="s">
        <v>34</v>
      </c>
    </row>
    <row r="882" customFormat="false" ht="15" hidden="false" customHeight="false" outlineLevel="0" collapsed="false">
      <c r="A882" s="0" t="s">
        <v>1645</v>
      </c>
      <c r="B882" s="0" t="s">
        <v>1646</v>
      </c>
      <c r="C882" s="0" t="s">
        <v>1647</v>
      </c>
      <c r="D882" s="46" t="n">
        <v>45970</v>
      </c>
      <c r="E882" s="47" t="s">
        <v>60</v>
      </c>
      <c r="F882" s="48" t="n">
        <v>165356.58</v>
      </c>
      <c r="G882" s="47" t="s">
        <v>65</v>
      </c>
      <c r="H882" s="47" t="s">
        <v>44</v>
      </c>
      <c r="I882" s="47" t="s">
        <v>132</v>
      </c>
      <c r="J882" s="47" t="s">
        <v>28</v>
      </c>
      <c r="K882" s="47" t="s">
        <v>34</v>
      </c>
    </row>
    <row r="883" customFormat="false" ht="15" hidden="false" customHeight="false" outlineLevel="0" collapsed="false">
      <c r="A883" s="0" t="s">
        <v>1648</v>
      </c>
      <c r="B883" s="0" t="s">
        <v>509</v>
      </c>
      <c r="C883" s="0" t="s">
        <v>1649</v>
      </c>
      <c r="D883" s="46" t="n">
        <v>45884</v>
      </c>
      <c r="E883" s="47" t="s">
        <v>55</v>
      </c>
      <c r="F883" s="48" t="n">
        <v>26190.02</v>
      </c>
      <c r="G883" s="47" t="s">
        <v>57</v>
      </c>
      <c r="H883" s="47" t="s">
        <v>46</v>
      </c>
      <c r="I883" s="47" t="s">
        <v>121</v>
      </c>
      <c r="J883" s="47" t="s">
        <v>28</v>
      </c>
      <c r="K883" s="47" t="s">
        <v>33</v>
      </c>
    </row>
    <row r="884" customFormat="false" ht="15" hidden="false" customHeight="false" outlineLevel="0" collapsed="false">
      <c r="A884" s="0" t="s">
        <v>1650</v>
      </c>
      <c r="B884" s="0" t="s">
        <v>611</v>
      </c>
      <c r="D884" s="46" t="n">
        <v>45789</v>
      </c>
      <c r="E884" s="47" t="s">
        <v>59</v>
      </c>
      <c r="F884" s="48" t="n">
        <v>53610.87</v>
      </c>
      <c r="G884" s="47" t="s">
        <v>65</v>
      </c>
      <c r="H884" s="47" t="s">
        <v>48</v>
      </c>
      <c r="I884" s="47" t="s">
        <v>111</v>
      </c>
      <c r="J884" s="47" t="s">
        <v>28</v>
      </c>
      <c r="K884" s="47" t="s">
        <v>33</v>
      </c>
    </row>
    <row r="885" customFormat="false" ht="15" hidden="false" customHeight="false" outlineLevel="0" collapsed="false">
      <c r="A885" s="0" t="s">
        <v>1651</v>
      </c>
      <c r="B885" s="0" t="s">
        <v>1228</v>
      </c>
      <c r="D885" s="46" t="n">
        <v>46094</v>
      </c>
      <c r="E885" s="47" t="s">
        <v>58</v>
      </c>
      <c r="F885" s="48" t="n">
        <v>105033.74</v>
      </c>
      <c r="G885" s="47" t="s">
        <v>57</v>
      </c>
      <c r="H885" s="47" t="s">
        <v>39</v>
      </c>
      <c r="I885" s="47" t="s">
        <v>98</v>
      </c>
      <c r="J885" s="47" t="s">
        <v>28</v>
      </c>
      <c r="K885" s="47" t="s">
        <v>33</v>
      </c>
    </row>
    <row r="886" customFormat="false" ht="15" hidden="false" customHeight="false" outlineLevel="0" collapsed="false">
      <c r="A886" s="0" t="s">
        <v>1652</v>
      </c>
      <c r="B886" s="0" t="s">
        <v>1282</v>
      </c>
      <c r="D886" s="46" t="n">
        <v>46108</v>
      </c>
      <c r="E886" s="47" t="s">
        <v>61</v>
      </c>
      <c r="F886" s="48" t="n">
        <v>144914.27</v>
      </c>
      <c r="G886" s="47" t="s">
        <v>65</v>
      </c>
      <c r="H886" s="47" t="s">
        <v>44</v>
      </c>
      <c r="I886" s="47" t="s">
        <v>226</v>
      </c>
      <c r="J886" s="47" t="s">
        <v>28</v>
      </c>
      <c r="K886" s="47" t="s">
        <v>33</v>
      </c>
    </row>
    <row r="887" customFormat="false" ht="15" hidden="false" customHeight="false" outlineLevel="0" collapsed="false">
      <c r="A887" s="0" t="s">
        <v>1653</v>
      </c>
      <c r="B887" s="0" t="s">
        <v>1359</v>
      </c>
      <c r="D887" s="46" t="n">
        <v>45686</v>
      </c>
      <c r="E887" s="47" t="s">
        <v>61</v>
      </c>
      <c r="F887" s="48" t="n">
        <v>65478.05</v>
      </c>
      <c r="G887" s="47" t="s">
        <v>53</v>
      </c>
      <c r="H887" s="47" t="s">
        <v>46</v>
      </c>
      <c r="I887" s="47" t="s">
        <v>242</v>
      </c>
      <c r="J887" s="47" t="s">
        <v>28</v>
      </c>
      <c r="K887" s="47" t="s">
        <v>33</v>
      </c>
    </row>
    <row r="888" customFormat="false" ht="15" hidden="false" customHeight="false" outlineLevel="0" collapsed="false">
      <c r="A888" s="0" t="s">
        <v>1654</v>
      </c>
      <c r="B888" s="0" t="s">
        <v>131</v>
      </c>
      <c r="C888" s="0" t="s">
        <v>1655</v>
      </c>
      <c r="D888" s="46" t="n">
        <v>46227</v>
      </c>
      <c r="E888" s="47" t="s">
        <v>60</v>
      </c>
      <c r="F888" s="48" t="n">
        <v>41438.18</v>
      </c>
      <c r="G888" s="47" t="s">
        <v>66</v>
      </c>
      <c r="H888" s="47" t="s">
        <v>44</v>
      </c>
      <c r="I888" s="47" t="s">
        <v>132</v>
      </c>
      <c r="J888" s="47" t="s">
        <v>28</v>
      </c>
      <c r="K888" s="47" t="s">
        <v>33</v>
      </c>
    </row>
    <row r="889" customFormat="false" ht="15" hidden="false" customHeight="false" outlineLevel="0" collapsed="false">
      <c r="A889" s="0" t="s">
        <v>1656</v>
      </c>
      <c r="B889" s="0" t="s">
        <v>502</v>
      </c>
      <c r="D889" s="46" t="n">
        <v>45855</v>
      </c>
      <c r="E889" s="47" t="s">
        <v>60</v>
      </c>
      <c r="F889" s="48" t="n">
        <v>138786.29</v>
      </c>
      <c r="G889" s="47" t="s">
        <v>68</v>
      </c>
      <c r="H889" s="47" t="s">
        <v>43</v>
      </c>
      <c r="I889" s="47" t="s">
        <v>102</v>
      </c>
      <c r="J889" s="47" t="s">
        <v>29</v>
      </c>
      <c r="K889" s="47" t="s">
        <v>34</v>
      </c>
    </row>
    <row r="890" customFormat="false" ht="15" hidden="false" customHeight="false" outlineLevel="0" collapsed="false">
      <c r="A890" s="0" t="s">
        <v>1657</v>
      </c>
      <c r="B890" s="0" t="s">
        <v>542</v>
      </c>
      <c r="D890" s="46" t="n">
        <v>46070</v>
      </c>
      <c r="E890" s="47" t="s">
        <v>55</v>
      </c>
      <c r="F890" s="48" t="n">
        <v>41043.5</v>
      </c>
      <c r="G890" s="47" t="s">
        <v>53</v>
      </c>
      <c r="H890" s="47" t="s">
        <v>42</v>
      </c>
      <c r="I890" s="47" t="s">
        <v>398</v>
      </c>
      <c r="J890" s="47" t="s">
        <v>28</v>
      </c>
      <c r="K890" s="47" t="s">
        <v>34</v>
      </c>
    </row>
    <row r="891" customFormat="false" ht="15" hidden="false" customHeight="false" outlineLevel="0" collapsed="false">
      <c r="A891" s="0" t="s">
        <v>1658</v>
      </c>
      <c r="B891" s="0" t="s">
        <v>1104</v>
      </c>
      <c r="D891" s="46" t="n">
        <v>45774</v>
      </c>
      <c r="E891" s="47" t="s">
        <v>55</v>
      </c>
      <c r="F891" s="48" t="n">
        <v>20321.2</v>
      </c>
      <c r="G891" s="47" t="s">
        <v>57</v>
      </c>
      <c r="H891" s="47" t="s">
        <v>39</v>
      </c>
      <c r="I891" s="47" t="s">
        <v>98</v>
      </c>
      <c r="J891" s="47" t="s">
        <v>28</v>
      </c>
      <c r="K891" s="47" t="s">
        <v>34</v>
      </c>
    </row>
    <row r="892" customFormat="false" ht="15" hidden="false" customHeight="false" outlineLevel="0" collapsed="false">
      <c r="A892" s="0" t="s">
        <v>1659</v>
      </c>
      <c r="B892" s="0" t="s">
        <v>974</v>
      </c>
      <c r="D892" s="46" t="n">
        <v>45944</v>
      </c>
      <c r="E892" s="47" t="s">
        <v>58</v>
      </c>
      <c r="F892" s="48" t="n">
        <v>157630.53</v>
      </c>
      <c r="G892" s="47" t="s">
        <v>53</v>
      </c>
      <c r="H892" s="47" t="s">
        <v>43</v>
      </c>
      <c r="I892" s="47" t="s">
        <v>201</v>
      </c>
      <c r="J892" s="47" t="s">
        <v>28</v>
      </c>
      <c r="K892" s="47" t="s">
        <v>34</v>
      </c>
    </row>
    <row r="893" customFormat="false" ht="15" hidden="false" customHeight="false" outlineLevel="0" collapsed="false">
      <c r="A893" s="0" t="s">
        <v>1660</v>
      </c>
      <c r="B893" s="0" t="s">
        <v>1661</v>
      </c>
      <c r="C893" s="0" t="s">
        <v>1662</v>
      </c>
      <c r="D893" s="46" t="n">
        <v>45773</v>
      </c>
      <c r="E893" s="47" t="s">
        <v>53</v>
      </c>
      <c r="F893" s="48" t="n">
        <v>16443.25</v>
      </c>
      <c r="G893" s="47" t="s">
        <v>53</v>
      </c>
      <c r="H893" s="47" t="s">
        <v>44</v>
      </c>
      <c r="I893" s="47" t="s">
        <v>226</v>
      </c>
      <c r="J893" s="47" t="s">
        <v>28</v>
      </c>
      <c r="K893" s="47" t="s">
        <v>34</v>
      </c>
    </row>
    <row r="894" customFormat="false" ht="15" hidden="false" customHeight="false" outlineLevel="0" collapsed="false">
      <c r="A894" s="0" t="s">
        <v>1663</v>
      </c>
      <c r="B894" s="0" t="s">
        <v>475</v>
      </c>
      <c r="D894" s="46" t="n">
        <v>46168</v>
      </c>
      <c r="E894" s="47" t="s">
        <v>59</v>
      </c>
      <c r="F894" s="48" t="n">
        <v>1276.23</v>
      </c>
      <c r="G894" s="47" t="s">
        <v>66</v>
      </c>
      <c r="H894" s="47" t="s">
        <v>42</v>
      </c>
      <c r="I894" s="47" t="s">
        <v>398</v>
      </c>
      <c r="J894" s="47" t="s">
        <v>28</v>
      </c>
      <c r="K894" s="47" t="s">
        <v>33</v>
      </c>
    </row>
    <row r="895" customFormat="false" ht="15" hidden="false" customHeight="false" outlineLevel="0" collapsed="false">
      <c r="A895" s="0" t="s">
        <v>1664</v>
      </c>
      <c r="B895" s="0" t="s">
        <v>926</v>
      </c>
      <c r="C895" s="0" t="s">
        <v>1665</v>
      </c>
      <c r="D895" s="46" t="n">
        <v>45858</v>
      </c>
      <c r="E895" s="47" t="s">
        <v>62</v>
      </c>
      <c r="F895" s="48" t="n">
        <v>53736.61</v>
      </c>
      <c r="G895" s="47" t="s">
        <v>57</v>
      </c>
      <c r="H895" s="47" t="s">
        <v>39</v>
      </c>
      <c r="I895" s="47" t="s">
        <v>177</v>
      </c>
      <c r="J895" s="47" t="s">
        <v>28</v>
      </c>
      <c r="K895" s="47" t="s">
        <v>34</v>
      </c>
    </row>
    <row r="896" customFormat="false" ht="15" hidden="false" customHeight="false" outlineLevel="0" collapsed="false">
      <c r="A896" s="0" t="s">
        <v>1666</v>
      </c>
      <c r="B896" s="0" t="s">
        <v>561</v>
      </c>
      <c r="D896" s="46" t="n">
        <v>46160</v>
      </c>
      <c r="E896" s="47" t="s">
        <v>59</v>
      </c>
      <c r="F896" s="48" t="n">
        <v>154364.68</v>
      </c>
      <c r="G896" s="47" t="s">
        <v>53</v>
      </c>
      <c r="H896" s="47" t="s">
        <v>43</v>
      </c>
      <c r="I896" s="47" t="s">
        <v>201</v>
      </c>
      <c r="J896" s="47" t="s">
        <v>28</v>
      </c>
      <c r="K896" s="47" t="s">
        <v>34</v>
      </c>
    </row>
    <row r="897" customFormat="false" ht="15" hidden="false" customHeight="false" outlineLevel="0" collapsed="false">
      <c r="A897" s="0" t="s">
        <v>1667</v>
      </c>
      <c r="B897" s="0" t="s">
        <v>559</v>
      </c>
      <c r="D897" s="46" t="n">
        <v>45766</v>
      </c>
      <c r="E897" s="47" t="s">
        <v>59</v>
      </c>
      <c r="F897" s="48" t="n">
        <v>140642.28</v>
      </c>
      <c r="G897" s="47" t="s">
        <v>66</v>
      </c>
      <c r="H897" s="47" t="s">
        <v>44</v>
      </c>
      <c r="I897" s="47" t="s">
        <v>80</v>
      </c>
      <c r="J897" s="47" t="s">
        <v>28</v>
      </c>
      <c r="K897" s="47" t="s">
        <v>34</v>
      </c>
    </row>
    <row r="898" customFormat="false" ht="15" hidden="false" customHeight="false" outlineLevel="0" collapsed="false">
      <c r="A898" s="0" t="s">
        <v>1668</v>
      </c>
      <c r="B898" s="0" t="s">
        <v>1601</v>
      </c>
      <c r="D898" s="46" t="n">
        <v>45889</v>
      </c>
      <c r="E898" s="47" t="s">
        <v>53</v>
      </c>
      <c r="F898" s="48" t="n">
        <v>186624.86</v>
      </c>
      <c r="G898" s="47" t="s">
        <v>57</v>
      </c>
      <c r="H898" s="47" t="s">
        <v>48</v>
      </c>
      <c r="I898" s="47" t="s">
        <v>114</v>
      </c>
      <c r="J898" s="47" t="s">
        <v>28</v>
      </c>
      <c r="K898" s="47" t="s">
        <v>34</v>
      </c>
    </row>
    <row r="899" customFormat="false" ht="15" hidden="false" customHeight="false" outlineLevel="0" collapsed="false">
      <c r="A899" s="0" t="s">
        <v>1669</v>
      </c>
      <c r="B899" s="0" t="s">
        <v>1670</v>
      </c>
      <c r="D899" s="46" t="n">
        <v>46009</v>
      </c>
      <c r="E899" s="47" t="s">
        <v>60</v>
      </c>
      <c r="F899" s="48" t="n">
        <v>7958.52</v>
      </c>
      <c r="G899" s="47" t="s">
        <v>66</v>
      </c>
      <c r="H899" s="47" t="s">
        <v>42</v>
      </c>
      <c r="I899" s="47" t="s">
        <v>137</v>
      </c>
      <c r="J899" s="47" t="s">
        <v>28</v>
      </c>
      <c r="K899" s="47" t="s">
        <v>33</v>
      </c>
    </row>
    <row r="900" customFormat="false" ht="15" hidden="false" customHeight="false" outlineLevel="0" collapsed="false">
      <c r="A900" s="0" t="s">
        <v>1671</v>
      </c>
      <c r="B900" s="0" t="s">
        <v>868</v>
      </c>
      <c r="D900" s="46" t="n">
        <v>46288</v>
      </c>
      <c r="E900" s="47" t="s">
        <v>55</v>
      </c>
      <c r="F900" s="48" t="n">
        <v>15835.83</v>
      </c>
      <c r="G900" s="47" t="s">
        <v>68</v>
      </c>
      <c r="H900" s="47" t="s">
        <v>46</v>
      </c>
      <c r="I900" s="47" t="s">
        <v>121</v>
      </c>
      <c r="J900" s="47" t="s">
        <v>28</v>
      </c>
      <c r="K900" s="47" t="s">
        <v>34</v>
      </c>
    </row>
    <row r="901" customFormat="false" ht="15" hidden="false" customHeight="false" outlineLevel="0" collapsed="false">
      <c r="A901" s="0" t="s">
        <v>1672</v>
      </c>
      <c r="B901" s="0" t="s">
        <v>1673</v>
      </c>
      <c r="D901" s="46" t="n">
        <v>46161</v>
      </c>
      <c r="E901" s="47" t="s">
        <v>58</v>
      </c>
      <c r="F901" s="48" t="n">
        <v>158909.31</v>
      </c>
      <c r="G901" s="47" t="s">
        <v>53</v>
      </c>
      <c r="H901" s="47" t="s">
        <v>44</v>
      </c>
      <c r="I901" s="47" t="s">
        <v>80</v>
      </c>
      <c r="J901" s="47" t="s">
        <v>28</v>
      </c>
      <c r="K901" s="47" t="s">
        <v>33</v>
      </c>
    </row>
    <row r="902" customFormat="false" ht="15" hidden="false" customHeight="false" outlineLevel="0" collapsed="false">
      <c r="A902" s="0" t="s">
        <v>1674</v>
      </c>
      <c r="B902" s="0" t="s">
        <v>216</v>
      </c>
      <c r="D902" s="46" t="n">
        <v>45770</v>
      </c>
      <c r="E902" s="47" t="s">
        <v>59</v>
      </c>
      <c r="F902" s="48" t="n">
        <v>185898.41</v>
      </c>
      <c r="G902" s="47" t="s">
        <v>53</v>
      </c>
      <c r="H902" s="47" t="s">
        <v>45</v>
      </c>
      <c r="I902" s="47" t="s">
        <v>217</v>
      </c>
      <c r="J902" s="47" t="s">
        <v>28</v>
      </c>
      <c r="K902" s="47" t="s">
        <v>34</v>
      </c>
    </row>
    <row r="903" customFormat="false" ht="15" hidden="false" customHeight="false" outlineLevel="0" collapsed="false">
      <c r="A903" s="0" t="s">
        <v>1675</v>
      </c>
      <c r="B903" s="0" t="s">
        <v>1215</v>
      </c>
      <c r="D903" s="46" t="n">
        <v>46027</v>
      </c>
      <c r="E903" s="47" t="s">
        <v>53</v>
      </c>
      <c r="F903" s="48" t="n">
        <v>187791.68</v>
      </c>
      <c r="G903" s="47" t="s">
        <v>53</v>
      </c>
      <c r="H903" s="47" t="s">
        <v>45</v>
      </c>
      <c r="I903" s="47" t="s">
        <v>95</v>
      </c>
      <c r="J903" s="47" t="s">
        <v>28</v>
      </c>
      <c r="K903" s="47" t="s">
        <v>33</v>
      </c>
    </row>
    <row r="904" customFormat="false" ht="15" hidden="false" customHeight="false" outlineLevel="0" collapsed="false">
      <c r="A904" s="0" t="s">
        <v>1676</v>
      </c>
      <c r="B904" s="0" t="s">
        <v>1677</v>
      </c>
      <c r="C904" s="0" t="s">
        <v>1678</v>
      </c>
      <c r="D904" s="46" t="n">
        <v>46234</v>
      </c>
      <c r="E904" s="47" t="s">
        <v>59</v>
      </c>
      <c r="F904" s="48" t="n">
        <v>168392.96</v>
      </c>
      <c r="G904" s="47" t="s">
        <v>65</v>
      </c>
      <c r="H904" s="47" t="s">
        <v>43</v>
      </c>
      <c r="I904" s="47" t="s">
        <v>102</v>
      </c>
      <c r="J904" s="47" t="s">
        <v>28</v>
      </c>
      <c r="K904" s="47" t="s">
        <v>33</v>
      </c>
    </row>
    <row r="905" customFormat="false" ht="15" hidden="false" customHeight="false" outlineLevel="0" collapsed="false">
      <c r="A905" s="0" t="s">
        <v>1679</v>
      </c>
      <c r="B905" s="0" t="s">
        <v>1099</v>
      </c>
      <c r="D905" s="46" t="n">
        <v>45918</v>
      </c>
      <c r="E905" s="47" t="s">
        <v>55</v>
      </c>
      <c r="F905" s="48" t="n">
        <v>59437.86</v>
      </c>
      <c r="G905" s="47" t="s">
        <v>66</v>
      </c>
      <c r="H905" s="47" t="s">
        <v>43</v>
      </c>
      <c r="I905" s="47" t="s">
        <v>201</v>
      </c>
      <c r="J905" s="47" t="s">
        <v>28</v>
      </c>
      <c r="K905" s="47" t="s">
        <v>34</v>
      </c>
    </row>
    <row r="906" customFormat="false" ht="15" hidden="false" customHeight="false" outlineLevel="0" collapsed="false">
      <c r="A906" s="0" t="s">
        <v>1680</v>
      </c>
      <c r="B906" s="0" t="s">
        <v>923</v>
      </c>
      <c r="D906" s="46" t="n">
        <v>46024</v>
      </c>
      <c r="E906" s="47" t="s">
        <v>53</v>
      </c>
      <c r="F906" s="48" t="n">
        <v>68508.69</v>
      </c>
      <c r="G906" s="47" t="s">
        <v>57</v>
      </c>
      <c r="H906" s="47" t="s">
        <v>42</v>
      </c>
      <c r="I906" s="47" t="s">
        <v>105</v>
      </c>
      <c r="J906" s="47" t="s">
        <v>28</v>
      </c>
      <c r="K906" s="47" t="s">
        <v>33</v>
      </c>
    </row>
    <row r="907" customFormat="false" ht="15" hidden="false" customHeight="false" outlineLevel="0" collapsed="false">
      <c r="A907" s="0" t="s">
        <v>1681</v>
      </c>
      <c r="B907" s="0" t="s">
        <v>1682</v>
      </c>
      <c r="D907" s="46" t="n">
        <v>46039</v>
      </c>
      <c r="E907" s="47" t="s">
        <v>58</v>
      </c>
      <c r="F907" s="48" t="n">
        <v>9573.76</v>
      </c>
      <c r="G907" s="47" t="s">
        <v>57</v>
      </c>
      <c r="H907" s="47" t="s">
        <v>44</v>
      </c>
      <c r="I907" s="47" t="s">
        <v>132</v>
      </c>
      <c r="J907" s="47" t="s">
        <v>28</v>
      </c>
      <c r="K907" s="47" t="s">
        <v>34</v>
      </c>
    </row>
    <row r="908" customFormat="false" ht="15" hidden="false" customHeight="false" outlineLevel="0" collapsed="false">
      <c r="A908" s="0" t="s">
        <v>1683</v>
      </c>
      <c r="B908" s="0" t="s">
        <v>1684</v>
      </c>
      <c r="D908" s="46" t="n">
        <v>45993</v>
      </c>
      <c r="E908" s="47" t="s">
        <v>55</v>
      </c>
      <c r="F908" s="48" t="n">
        <v>56616.98</v>
      </c>
      <c r="G908" s="47" t="s">
        <v>57</v>
      </c>
      <c r="H908" s="47" t="s">
        <v>43</v>
      </c>
      <c r="I908" s="47" t="s">
        <v>117</v>
      </c>
      <c r="J908" s="47" t="s">
        <v>28</v>
      </c>
      <c r="K908" s="47" t="s">
        <v>34</v>
      </c>
    </row>
    <row r="909" customFormat="false" ht="15" hidden="false" customHeight="false" outlineLevel="0" collapsed="false">
      <c r="A909" s="0" t="s">
        <v>1685</v>
      </c>
      <c r="B909" s="0" t="s">
        <v>1522</v>
      </c>
      <c r="D909" s="46" t="n">
        <v>45767</v>
      </c>
      <c r="E909" s="47" t="s">
        <v>60</v>
      </c>
      <c r="F909" s="48" t="n">
        <v>48552.73</v>
      </c>
      <c r="G909" s="47" t="s">
        <v>66</v>
      </c>
      <c r="H909" s="47" t="s">
        <v>43</v>
      </c>
      <c r="I909" s="47" t="s">
        <v>201</v>
      </c>
      <c r="J909" s="47" t="s">
        <v>28</v>
      </c>
      <c r="K909" s="47" t="s">
        <v>33</v>
      </c>
    </row>
    <row r="910" customFormat="false" ht="15" hidden="false" customHeight="false" outlineLevel="0" collapsed="false">
      <c r="A910" s="0" t="s">
        <v>1686</v>
      </c>
      <c r="B910" s="0" t="s">
        <v>342</v>
      </c>
      <c r="D910" s="46" t="n">
        <v>45946</v>
      </c>
      <c r="E910" s="47" t="s">
        <v>53</v>
      </c>
      <c r="F910" s="48" t="n">
        <v>96938.31</v>
      </c>
      <c r="G910" s="47" t="s">
        <v>68</v>
      </c>
      <c r="H910" s="47" t="s">
        <v>46</v>
      </c>
      <c r="I910" s="47" t="s">
        <v>148</v>
      </c>
      <c r="J910" s="47" t="s">
        <v>28</v>
      </c>
      <c r="K910" s="47" t="s">
        <v>33</v>
      </c>
    </row>
    <row r="911" customFormat="false" ht="15" hidden="false" customHeight="false" outlineLevel="0" collapsed="false">
      <c r="A911" s="0" t="s">
        <v>1687</v>
      </c>
      <c r="B911" s="0" t="s">
        <v>540</v>
      </c>
      <c r="D911" s="46" t="n">
        <v>46213</v>
      </c>
      <c r="E911" s="47" t="s">
        <v>59</v>
      </c>
      <c r="F911" s="48" t="n">
        <v>140867.61</v>
      </c>
      <c r="G911" s="47" t="s">
        <v>57</v>
      </c>
      <c r="H911" s="47" t="s">
        <v>39</v>
      </c>
      <c r="I911" s="47" t="s">
        <v>145</v>
      </c>
      <c r="J911" s="47" t="s">
        <v>28</v>
      </c>
      <c r="K911" s="47" t="s">
        <v>34</v>
      </c>
    </row>
    <row r="912" customFormat="false" ht="15" hidden="false" customHeight="false" outlineLevel="0" collapsed="false">
      <c r="A912" s="0" t="s">
        <v>1688</v>
      </c>
      <c r="B912" s="0" t="s">
        <v>170</v>
      </c>
      <c r="D912" s="46" t="n">
        <v>45741</v>
      </c>
      <c r="E912" s="47" t="s">
        <v>59</v>
      </c>
      <c r="F912" s="48" t="n">
        <v>168704.96</v>
      </c>
      <c r="G912" s="47" t="s">
        <v>57</v>
      </c>
      <c r="H912" s="47" t="s">
        <v>48</v>
      </c>
      <c r="I912" s="47" t="s">
        <v>111</v>
      </c>
      <c r="J912" s="47" t="s">
        <v>28</v>
      </c>
      <c r="K912" s="47" t="s">
        <v>34</v>
      </c>
    </row>
    <row r="913" customFormat="false" ht="15" hidden="false" customHeight="false" outlineLevel="0" collapsed="false">
      <c r="A913" s="0" t="s">
        <v>1689</v>
      </c>
      <c r="B913" s="0" t="s">
        <v>1424</v>
      </c>
      <c r="D913" s="46" t="n">
        <v>46170</v>
      </c>
      <c r="E913" s="47" t="s">
        <v>61</v>
      </c>
      <c r="F913" s="48" t="n">
        <v>159858.11</v>
      </c>
      <c r="G913" s="47" t="s">
        <v>57</v>
      </c>
      <c r="H913" s="47" t="s">
        <v>48</v>
      </c>
      <c r="I913" s="47" t="s">
        <v>111</v>
      </c>
      <c r="J913" s="47" t="s">
        <v>28</v>
      </c>
      <c r="K913" s="47" t="s">
        <v>34</v>
      </c>
    </row>
    <row r="914" customFormat="false" ht="15" hidden="false" customHeight="false" outlineLevel="0" collapsed="false">
      <c r="A914" s="0" t="s">
        <v>1690</v>
      </c>
      <c r="B914" s="0" t="s">
        <v>172</v>
      </c>
      <c r="D914" s="46" t="n">
        <v>46181</v>
      </c>
      <c r="E914" s="47" t="s">
        <v>60</v>
      </c>
      <c r="F914" s="48" t="n">
        <v>129595.1</v>
      </c>
      <c r="G914" s="47" t="s">
        <v>68</v>
      </c>
      <c r="H914" s="47" t="s">
        <v>47</v>
      </c>
      <c r="I914" s="47" t="s">
        <v>108</v>
      </c>
      <c r="J914" s="47" t="s">
        <v>29</v>
      </c>
      <c r="K914" s="47" t="s">
        <v>33</v>
      </c>
    </row>
    <row r="915" customFormat="false" ht="15" hidden="false" customHeight="false" outlineLevel="0" collapsed="false">
      <c r="A915" s="0" t="s">
        <v>1691</v>
      </c>
      <c r="B915" s="0" t="s">
        <v>82</v>
      </c>
      <c r="D915" s="46" t="n">
        <v>46139</v>
      </c>
      <c r="E915" s="47" t="s">
        <v>53</v>
      </c>
      <c r="F915" s="48" t="n">
        <v>85637.83</v>
      </c>
      <c r="G915" s="47" t="s">
        <v>53</v>
      </c>
      <c r="H915" s="47" t="s">
        <v>40</v>
      </c>
      <c r="I915" s="47" t="s">
        <v>83</v>
      </c>
      <c r="J915" s="47" t="s">
        <v>28</v>
      </c>
      <c r="K915" s="47" t="s">
        <v>34</v>
      </c>
    </row>
    <row r="916" customFormat="false" ht="15" hidden="false" customHeight="false" outlineLevel="0" collapsed="false">
      <c r="A916" s="0" t="s">
        <v>1692</v>
      </c>
      <c r="B916" s="0" t="s">
        <v>1159</v>
      </c>
      <c r="D916" s="46" t="n">
        <v>45934</v>
      </c>
      <c r="E916" s="47" t="s">
        <v>60</v>
      </c>
      <c r="F916" s="48" t="n">
        <v>70104.3</v>
      </c>
      <c r="G916" s="47" t="s">
        <v>53</v>
      </c>
      <c r="H916" s="47" t="s">
        <v>43</v>
      </c>
      <c r="I916" s="47" t="s">
        <v>201</v>
      </c>
      <c r="J916" s="47" t="s">
        <v>28</v>
      </c>
      <c r="K916" s="47" t="s">
        <v>33</v>
      </c>
    </row>
    <row r="917" customFormat="false" ht="15" hidden="false" customHeight="false" outlineLevel="0" collapsed="false">
      <c r="A917" s="0" t="s">
        <v>1693</v>
      </c>
      <c r="B917" s="0" t="s">
        <v>1694</v>
      </c>
      <c r="D917" s="46" t="n">
        <v>45714</v>
      </c>
      <c r="E917" s="47" t="s">
        <v>59</v>
      </c>
      <c r="F917" s="48" t="n">
        <v>127421.84</v>
      </c>
      <c r="G917" s="47" t="s">
        <v>68</v>
      </c>
      <c r="H917" s="47" t="s">
        <v>39</v>
      </c>
      <c r="I917" s="47" t="s">
        <v>177</v>
      </c>
      <c r="J917" s="47" t="s">
        <v>28</v>
      </c>
      <c r="K917" s="47" t="s">
        <v>33</v>
      </c>
    </row>
    <row r="918" customFormat="false" ht="15" hidden="false" customHeight="false" outlineLevel="0" collapsed="false">
      <c r="A918" s="0" t="s">
        <v>1695</v>
      </c>
      <c r="B918" s="0" t="s">
        <v>1696</v>
      </c>
      <c r="D918" s="46" t="n">
        <v>46019</v>
      </c>
      <c r="E918" s="47" t="s">
        <v>60</v>
      </c>
      <c r="F918" s="48" t="n">
        <v>84805.73</v>
      </c>
      <c r="G918" s="47" t="s">
        <v>68</v>
      </c>
      <c r="H918" s="47" t="s">
        <v>45</v>
      </c>
      <c r="I918" s="47" t="s">
        <v>95</v>
      </c>
      <c r="J918" s="47" t="s">
        <v>28</v>
      </c>
      <c r="K918" s="47" t="s">
        <v>33</v>
      </c>
    </row>
    <row r="919" customFormat="false" ht="15" hidden="false" customHeight="false" outlineLevel="0" collapsed="false">
      <c r="A919" s="0" t="s">
        <v>1697</v>
      </c>
      <c r="B919" s="0" t="s">
        <v>762</v>
      </c>
      <c r="D919" s="46" t="n">
        <v>45798</v>
      </c>
      <c r="E919" s="47" t="s">
        <v>60</v>
      </c>
      <c r="F919" s="48" t="n">
        <v>95802.86</v>
      </c>
      <c r="G919" s="47" t="s">
        <v>57</v>
      </c>
      <c r="H919" s="47" t="s">
        <v>43</v>
      </c>
      <c r="I919" s="47" t="s">
        <v>201</v>
      </c>
      <c r="J919" s="47" t="s">
        <v>28</v>
      </c>
      <c r="K919" s="47" t="s">
        <v>33</v>
      </c>
    </row>
    <row r="920" customFormat="false" ht="15" hidden="false" customHeight="false" outlineLevel="0" collapsed="false">
      <c r="A920" s="0" t="s">
        <v>1698</v>
      </c>
      <c r="B920" s="0" t="s">
        <v>1435</v>
      </c>
      <c r="D920" s="46" t="n">
        <v>46183</v>
      </c>
      <c r="E920" s="47" t="s">
        <v>60</v>
      </c>
      <c r="F920" s="48" t="n">
        <v>68906.39</v>
      </c>
      <c r="G920" s="47" t="s">
        <v>65</v>
      </c>
      <c r="H920" s="47" t="s">
        <v>39</v>
      </c>
      <c r="I920" s="47" t="s">
        <v>145</v>
      </c>
      <c r="J920" s="47" t="s">
        <v>28</v>
      </c>
      <c r="K920" s="47" t="s">
        <v>33</v>
      </c>
    </row>
    <row r="921" customFormat="false" ht="15" hidden="false" customHeight="false" outlineLevel="0" collapsed="false">
      <c r="A921" s="0" t="s">
        <v>1699</v>
      </c>
      <c r="B921" s="0" t="s">
        <v>1296</v>
      </c>
      <c r="D921" s="46" t="n">
        <v>45817</v>
      </c>
      <c r="E921" s="47" t="s">
        <v>59</v>
      </c>
      <c r="F921" s="48" t="n">
        <v>168215.54</v>
      </c>
      <c r="G921" s="47" t="s">
        <v>68</v>
      </c>
      <c r="H921" s="47" t="s">
        <v>41</v>
      </c>
      <c r="I921" s="47" t="s">
        <v>86</v>
      </c>
      <c r="J921" s="47" t="s">
        <v>29</v>
      </c>
      <c r="K921" s="47" t="s">
        <v>33</v>
      </c>
    </row>
    <row r="922" customFormat="false" ht="15" hidden="false" customHeight="false" outlineLevel="0" collapsed="false">
      <c r="A922" s="0" t="s">
        <v>1700</v>
      </c>
      <c r="B922" s="0" t="s">
        <v>1701</v>
      </c>
      <c r="D922" s="46" t="n">
        <v>45781</v>
      </c>
      <c r="E922" s="47" t="s">
        <v>62</v>
      </c>
      <c r="F922" s="48" t="n">
        <v>44872.88</v>
      </c>
      <c r="G922" s="47" t="s">
        <v>65</v>
      </c>
      <c r="H922" s="47" t="s">
        <v>42</v>
      </c>
      <c r="I922" s="47" t="s">
        <v>398</v>
      </c>
      <c r="J922" s="47" t="s">
        <v>28</v>
      </c>
      <c r="K922" s="47" t="s">
        <v>34</v>
      </c>
    </row>
    <row r="923" customFormat="false" ht="15" hidden="false" customHeight="false" outlineLevel="0" collapsed="false">
      <c r="A923" s="0" t="s">
        <v>1702</v>
      </c>
      <c r="B923" s="0" t="s">
        <v>147</v>
      </c>
      <c r="D923" s="46" t="n">
        <v>45887</v>
      </c>
      <c r="E923" s="47" t="s">
        <v>53</v>
      </c>
      <c r="F923" s="48" t="n">
        <v>6472.75</v>
      </c>
      <c r="G923" s="47" t="s">
        <v>66</v>
      </c>
      <c r="H923" s="47" t="s">
        <v>46</v>
      </c>
      <c r="I923" s="47" t="s">
        <v>148</v>
      </c>
      <c r="J923" s="47" t="s">
        <v>29</v>
      </c>
      <c r="K923" s="47" t="s">
        <v>33</v>
      </c>
    </row>
    <row r="924" customFormat="false" ht="15" hidden="false" customHeight="false" outlineLevel="0" collapsed="false">
      <c r="A924" s="0" t="s">
        <v>1703</v>
      </c>
      <c r="B924" s="0" t="s">
        <v>1704</v>
      </c>
      <c r="D924" s="46" t="n">
        <v>46243</v>
      </c>
      <c r="E924" s="47" t="s">
        <v>61</v>
      </c>
      <c r="F924" s="48" t="n">
        <v>101785.98</v>
      </c>
      <c r="G924" s="47" t="s">
        <v>68</v>
      </c>
      <c r="H924" s="47" t="s">
        <v>47</v>
      </c>
      <c r="I924" s="47" t="s">
        <v>245</v>
      </c>
      <c r="J924" s="47" t="s">
        <v>28</v>
      </c>
      <c r="K924" s="47" t="s">
        <v>34</v>
      </c>
    </row>
    <row r="925" customFormat="false" ht="15" hidden="false" customHeight="false" outlineLevel="0" collapsed="false">
      <c r="A925" s="0" t="s">
        <v>1705</v>
      </c>
      <c r="B925" s="0" t="s">
        <v>1706</v>
      </c>
      <c r="D925" s="46" t="n">
        <v>45900</v>
      </c>
      <c r="E925" s="47" t="s">
        <v>58</v>
      </c>
      <c r="F925" s="48" t="n">
        <v>195416.83</v>
      </c>
      <c r="G925" s="47" t="s">
        <v>53</v>
      </c>
      <c r="H925" s="47" t="s">
        <v>46</v>
      </c>
      <c r="I925" s="47" t="s">
        <v>121</v>
      </c>
      <c r="J925" s="47" t="s">
        <v>28</v>
      </c>
      <c r="K925" s="47" t="s">
        <v>34</v>
      </c>
    </row>
    <row r="926" customFormat="false" ht="15" hidden="false" customHeight="false" outlineLevel="0" collapsed="false">
      <c r="A926" s="0" t="s">
        <v>1707</v>
      </c>
      <c r="B926" s="0" t="s">
        <v>613</v>
      </c>
      <c r="D926" s="46" t="n">
        <v>46158</v>
      </c>
      <c r="E926" s="47" t="s">
        <v>61</v>
      </c>
      <c r="F926" s="48" t="n">
        <v>17088.17</v>
      </c>
      <c r="G926" s="47" t="s">
        <v>66</v>
      </c>
      <c r="H926" s="47" t="s">
        <v>44</v>
      </c>
      <c r="I926" s="47" t="s">
        <v>80</v>
      </c>
      <c r="J926" s="47" t="s">
        <v>28</v>
      </c>
      <c r="K926" s="47" t="s">
        <v>33</v>
      </c>
    </row>
    <row r="927" customFormat="false" ht="15" hidden="false" customHeight="false" outlineLevel="0" collapsed="false">
      <c r="A927" s="0" t="s">
        <v>1708</v>
      </c>
      <c r="B927" s="0" t="s">
        <v>913</v>
      </c>
      <c r="D927" s="46" t="n">
        <v>45833</v>
      </c>
      <c r="E927" s="47" t="s">
        <v>60</v>
      </c>
      <c r="F927" s="48" t="n">
        <v>19312.47</v>
      </c>
      <c r="G927" s="47" t="s">
        <v>57</v>
      </c>
      <c r="H927" s="47" t="s">
        <v>48</v>
      </c>
      <c r="I927" s="47" t="s">
        <v>114</v>
      </c>
      <c r="J927" s="47" t="s">
        <v>28</v>
      </c>
      <c r="K927" s="47" t="s">
        <v>33</v>
      </c>
    </row>
    <row r="928" customFormat="false" ht="15" hidden="false" customHeight="false" outlineLevel="0" collapsed="false">
      <c r="A928" s="0" t="s">
        <v>1709</v>
      </c>
      <c r="B928" s="0" t="s">
        <v>350</v>
      </c>
      <c r="D928" s="46" t="n">
        <v>46109</v>
      </c>
      <c r="E928" s="47" t="s">
        <v>59</v>
      </c>
      <c r="F928" s="48" t="n">
        <v>126029.33</v>
      </c>
      <c r="G928" s="47" t="s">
        <v>57</v>
      </c>
      <c r="H928" s="47" t="s">
        <v>44</v>
      </c>
      <c r="I928" s="47" t="s">
        <v>80</v>
      </c>
      <c r="J928" s="47" t="s">
        <v>28</v>
      </c>
      <c r="K928" s="47" t="s">
        <v>33</v>
      </c>
    </row>
    <row r="929" customFormat="false" ht="15" hidden="false" customHeight="false" outlineLevel="0" collapsed="false">
      <c r="A929" s="0" t="s">
        <v>1710</v>
      </c>
      <c r="B929" s="0" t="s">
        <v>936</v>
      </c>
      <c r="D929" s="46" t="n">
        <v>45710</v>
      </c>
      <c r="E929" s="47" t="s">
        <v>58</v>
      </c>
      <c r="F929" s="48" t="n">
        <v>23713.51</v>
      </c>
      <c r="G929" s="47" t="s">
        <v>65</v>
      </c>
      <c r="H929" s="47" t="s">
        <v>47</v>
      </c>
      <c r="I929" s="47" t="s">
        <v>245</v>
      </c>
      <c r="J929" s="47" t="s">
        <v>28</v>
      </c>
      <c r="K929" s="47" t="s">
        <v>34</v>
      </c>
    </row>
    <row r="930" customFormat="false" ht="15" hidden="false" customHeight="false" outlineLevel="0" collapsed="false">
      <c r="A930" s="0" t="s">
        <v>1711</v>
      </c>
      <c r="B930" s="0" t="s">
        <v>1622</v>
      </c>
      <c r="D930" s="46" t="n">
        <v>46162</v>
      </c>
      <c r="E930" s="47" t="s">
        <v>60</v>
      </c>
      <c r="F930" s="48" t="n">
        <v>18470.44</v>
      </c>
      <c r="G930" s="47" t="s">
        <v>68</v>
      </c>
      <c r="H930" s="47" t="s">
        <v>40</v>
      </c>
      <c r="I930" s="47" t="s">
        <v>83</v>
      </c>
      <c r="J930" s="47" t="s">
        <v>28</v>
      </c>
      <c r="K930" s="47" t="s">
        <v>33</v>
      </c>
    </row>
    <row r="931" customFormat="false" ht="15" hidden="false" customHeight="false" outlineLevel="0" collapsed="false">
      <c r="A931" s="0" t="s">
        <v>1712</v>
      </c>
      <c r="B931" s="0" t="s">
        <v>444</v>
      </c>
      <c r="D931" s="46" t="n">
        <v>45901</v>
      </c>
      <c r="E931" s="47" t="s">
        <v>60</v>
      </c>
      <c r="F931" s="48" t="n">
        <v>189225.29</v>
      </c>
      <c r="G931" s="47" t="s">
        <v>57</v>
      </c>
      <c r="H931" s="47" t="s">
        <v>46</v>
      </c>
      <c r="I931" s="47" t="s">
        <v>121</v>
      </c>
      <c r="J931" s="47" t="s">
        <v>28</v>
      </c>
      <c r="K931" s="47" t="s">
        <v>33</v>
      </c>
    </row>
    <row r="932" customFormat="false" ht="15" hidden="false" customHeight="false" outlineLevel="0" collapsed="false">
      <c r="A932" s="0" t="s">
        <v>1713</v>
      </c>
      <c r="B932" s="0" t="s">
        <v>328</v>
      </c>
      <c r="D932" s="46" t="n">
        <v>45666</v>
      </c>
      <c r="E932" s="47" t="s">
        <v>62</v>
      </c>
      <c r="F932" s="48" t="n">
        <v>162467.23</v>
      </c>
      <c r="G932" s="47" t="s">
        <v>68</v>
      </c>
      <c r="H932" s="47" t="s">
        <v>39</v>
      </c>
      <c r="I932" s="47" t="s">
        <v>98</v>
      </c>
      <c r="J932" s="47" t="s">
        <v>28</v>
      </c>
      <c r="K932" s="47" t="s">
        <v>33</v>
      </c>
    </row>
    <row r="933" customFormat="false" ht="15" hidden="false" customHeight="false" outlineLevel="0" collapsed="false">
      <c r="A933" s="0" t="s">
        <v>1714</v>
      </c>
      <c r="B933" s="0" t="s">
        <v>866</v>
      </c>
      <c r="D933" s="46" t="n">
        <v>46288</v>
      </c>
      <c r="E933" s="47" t="s">
        <v>53</v>
      </c>
      <c r="F933" s="48" t="n">
        <v>190488.76</v>
      </c>
      <c r="G933" s="47" t="s">
        <v>68</v>
      </c>
      <c r="H933" s="47" t="s">
        <v>46</v>
      </c>
      <c r="I933" s="47" t="s">
        <v>242</v>
      </c>
      <c r="J933" s="47" t="s">
        <v>29</v>
      </c>
      <c r="K933" s="47" t="s">
        <v>33</v>
      </c>
    </row>
    <row r="934" customFormat="false" ht="15" hidden="false" customHeight="false" outlineLevel="0" collapsed="false">
      <c r="A934" s="0" t="s">
        <v>1715</v>
      </c>
      <c r="B934" s="0" t="s">
        <v>1040</v>
      </c>
      <c r="D934" s="46" t="n">
        <v>45988</v>
      </c>
      <c r="E934" s="47" t="s">
        <v>58</v>
      </c>
      <c r="F934" s="48" t="n">
        <v>155612.46</v>
      </c>
      <c r="G934" s="47" t="s">
        <v>57</v>
      </c>
      <c r="H934" s="47" t="s">
        <v>41</v>
      </c>
      <c r="I934" s="47" t="s">
        <v>293</v>
      </c>
      <c r="J934" s="47" t="s">
        <v>28</v>
      </c>
      <c r="K934" s="47" t="s">
        <v>33</v>
      </c>
    </row>
    <row r="935" customFormat="false" ht="15" hidden="false" customHeight="false" outlineLevel="0" collapsed="false">
      <c r="A935" s="0" t="s">
        <v>1716</v>
      </c>
      <c r="B935" s="0" t="s">
        <v>859</v>
      </c>
      <c r="D935" s="46" t="n">
        <v>46219</v>
      </c>
      <c r="E935" s="47" t="s">
        <v>60</v>
      </c>
      <c r="F935" s="48" t="n">
        <v>156949.54</v>
      </c>
      <c r="G935" s="47" t="s">
        <v>68</v>
      </c>
      <c r="H935" s="47" t="s">
        <v>43</v>
      </c>
      <c r="I935" s="47" t="s">
        <v>117</v>
      </c>
      <c r="J935" s="47" t="s">
        <v>28</v>
      </c>
      <c r="K935" s="47" t="s">
        <v>34</v>
      </c>
    </row>
    <row r="936" customFormat="false" ht="15" hidden="false" customHeight="false" outlineLevel="0" collapsed="false">
      <c r="A936" s="0" t="s">
        <v>1717</v>
      </c>
      <c r="B936" s="0" t="s">
        <v>172</v>
      </c>
      <c r="D936" s="46" t="n">
        <v>46032</v>
      </c>
      <c r="E936" s="47" t="s">
        <v>55</v>
      </c>
      <c r="F936" s="48" t="n">
        <v>171440.8</v>
      </c>
      <c r="G936" s="47" t="s">
        <v>65</v>
      </c>
      <c r="H936" s="47" t="s">
        <v>47</v>
      </c>
      <c r="I936" s="47" t="s">
        <v>108</v>
      </c>
      <c r="J936" s="47" t="s">
        <v>28</v>
      </c>
      <c r="K936" s="47" t="s">
        <v>33</v>
      </c>
    </row>
    <row r="937" customFormat="false" ht="15" hidden="false" customHeight="false" outlineLevel="0" collapsed="false">
      <c r="A937" s="0" t="s">
        <v>1718</v>
      </c>
      <c r="B937" s="0" t="s">
        <v>653</v>
      </c>
      <c r="D937" s="46" t="n">
        <v>46153</v>
      </c>
      <c r="E937" s="47" t="s">
        <v>55</v>
      </c>
      <c r="F937" s="48" t="n">
        <v>68801.55</v>
      </c>
      <c r="G937" s="47" t="s">
        <v>65</v>
      </c>
      <c r="H937" s="47" t="s">
        <v>46</v>
      </c>
      <c r="I937" s="47" t="s">
        <v>148</v>
      </c>
      <c r="J937" s="47" t="s">
        <v>29</v>
      </c>
      <c r="K937" s="47" t="s">
        <v>33</v>
      </c>
    </row>
    <row r="938" customFormat="false" ht="15" hidden="false" customHeight="false" outlineLevel="0" collapsed="false">
      <c r="A938" s="0" t="s">
        <v>1719</v>
      </c>
      <c r="B938" s="0" t="s">
        <v>1146</v>
      </c>
      <c r="D938" s="46" t="n">
        <v>46012</v>
      </c>
      <c r="E938" s="47" t="s">
        <v>62</v>
      </c>
      <c r="F938" s="48" t="n">
        <v>24547.05</v>
      </c>
      <c r="G938" s="47" t="s">
        <v>53</v>
      </c>
      <c r="H938" s="47" t="s">
        <v>47</v>
      </c>
      <c r="I938" s="47" t="s">
        <v>166</v>
      </c>
      <c r="J938" s="47" t="s">
        <v>28</v>
      </c>
      <c r="K938" s="47" t="s">
        <v>34</v>
      </c>
    </row>
    <row r="939" customFormat="false" ht="15" hidden="false" customHeight="false" outlineLevel="0" collapsed="false">
      <c r="A939" s="0" t="s">
        <v>1720</v>
      </c>
      <c r="B939" s="0" t="s">
        <v>1256</v>
      </c>
      <c r="D939" s="46" t="n">
        <v>46091</v>
      </c>
      <c r="E939" s="47" t="s">
        <v>62</v>
      </c>
      <c r="F939" s="48" t="n">
        <v>144238.32</v>
      </c>
      <c r="G939" s="47" t="s">
        <v>57</v>
      </c>
      <c r="H939" s="47" t="s">
        <v>48</v>
      </c>
      <c r="I939" s="47" t="s">
        <v>111</v>
      </c>
      <c r="J939" s="47" t="s">
        <v>29</v>
      </c>
      <c r="K939" s="47" t="s">
        <v>33</v>
      </c>
    </row>
    <row r="940" customFormat="false" ht="15" hidden="false" customHeight="false" outlineLevel="0" collapsed="false">
      <c r="A940" s="0" t="s">
        <v>1721</v>
      </c>
      <c r="B940" s="0" t="s">
        <v>1190</v>
      </c>
      <c r="C940" s="0" t="s">
        <v>1722</v>
      </c>
      <c r="D940" s="46" t="n">
        <v>46046</v>
      </c>
      <c r="E940" s="47" t="s">
        <v>58</v>
      </c>
      <c r="F940" s="48" t="n">
        <v>156323.69</v>
      </c>
      <c r="G940" s="47" t="s">
        <v>57</v>
      </c>
      <c r="H940" s="47" t="s">
        <v>45</v>
      </c>
      <c r="I940" s="47" t="s">
        <v>95</v>
      </c>
      <c r="J940" s="47" t="s">
        <v>28</v>
      </c>
      <c r="K940" s="47" t="s">
        <v>33</v>
      </c>
    </row>
    <row r="941" customFormat="false" ht="15" hidden="false" customHeight="false" outlineLevel="0" collapsed="false">
      <c r="A941" s="0" t="s">
        <v>1723</v>
      </c>
      <c r="B941" s="0" t="s">
        <v>386</v>
      </c>
      <c r="D941" s="46" t="n">
        <v>46194</v>
      </c>
      <c r="E941" s="47" t="s">
        <v>60</v>
      </c>
      <c r="F941" s="48" t="n">
        <v>145895.19</v>
      </c>
      <c r="G941" s="47" t="s">
        <v>57</v>
      </c>
      <c r="H941" s="47" t="s">
        <v>39</v>
      </c>
      <c r="I941" s="47" t="s">
        <v>98</v>
      </c>
      <c r="J941" s="47" t="s">
        <v>28</v>
      </c>
      <c r="K941" s="47" t="s">
        <v>34</v>
      </c>
    </row>
    <row r="942" customFormat="false" ht="15" hidden="false" customHeight="false" outlineLevel="0" collapsed="false">
      <c r="A942" s="0" t="s">
        <v>1724</v>
      </c>
      <c r="B942" s="0" t="s">
        <v>637</v>
      </c>
      <c r="D942" s="46" t="n">
        <v>46165</v>
      </c>
      <c r="E942" s="47" t="s">
        <v>60</v>
      </c>
      <c r="F942" s="48" t="n">
        <v>184288.22</v>
      </c>
      <c r="G942" s="47" t="s">
        <v>57</v>
      </c>
      <c r="H942" s="47" t="s">
        <v>42</v>
      </c>
      <c r="I942" s="47" t="s">
        <v>398</v>
      </c>
      <c r="J942" s="47" t="s">
        <v>28</v>
      </c>
      <c r="K942" s="47" t="s">
        <v>33</v>
      </c>
    </row>
    <row r="943" customFormat="false" ht="15" hidden="false" customHeight="false" outlineLevel="0" collapsed="false">
      <c r="A943" s="0" t="s">
        <v>1725</v>
      </c>
      <c r="B943" s="0" t="s">
        <v>457</v>
      </c>
      <c r="D943" s="46" t="n">
        <v>45747</v>
      </c>
      <c r="E943" s="47" t="s">
        <v>61</v>
      </c>
      <c r="F943" s="48" t="n">
        <v>87178.36</v>
      </c>
      <c r="G943" s="47" t="s">
        <v>53</v>
      </c>
      <c r="H943" s="47" t="s">
        <v>39</v>
      </c>
      <c r="I943" s="47" t="s">
        <v>177</v>
      </c>
      <c r="J943" s="47" t="s">
        <v>28</v>
      </c>
      <c r="K943" s="47" t="s">
        <v>33</v>
      </c>
    </row>
    <row r="944" customFormat="false" ht="15" hidden="false" customHeight="false" outlineLevel="0" collapsed="false">
      <c r="A944" s="0" t="s">
        <v>1726</v>
      </c>
      <c r="B944" s="0" t="s">
        <v>408</v>
      </c>
      <c r="C944" s="0" t="s">
        <v>1727</v>
      </c>
      <c r="D944" s="46" t="n">
        <v>45955</v>
      </c>
      <c r="E944" s="47" t="s">
        <v>62</v>
      </c>
      <c r="F944" s="48" t="n">
        <v>97752.79</v>
      </c>
      <c r="G944" s="47" t="s">
        <v>53</v>
      </c>
      <c r="H944" s="47" t="s">
        <v>43</v>
      </c>
      <c r="I944" s="47" t="s">
        <v>102</v>
      </c>
      <c r="J944" s="47" t="s">
        <v>28</v>
      </c>
      <c r="K944" s="47" t="s">
        <v>33</v>
      </c>
    </row>
    <row r="945" customFormat="false" ht="15" hidden="false" customHeight="false" outlineLevel="0" collapsed="false">
      <c r="A945" s="0" t="s">
        <v>1728</v>
      </c>
      <c r="B945" s="0" t="s">
        <v>1238</v>
      </c>
      <c r="D945" s="46" t="n">
        <v>45677</v>
      </c>
      <c r="E945" s="47" t="s">
        <v>61</v>
      </c>
      <c r="F945" s="48" t="n">
        <v>88870.47</v>
      </c>
      <c r="G945" s="47" t="s">
        <v>65</v>
      </c>
      <c r="H945" s="47" t="s">
        <v>39</v>
      </c>
      <c r="I945" s="47" t="s">
        <v>145</v>
      </c>
      <c r="J945" s="47" t="s">
        <v>29</v>
      </c>
      <c r="K945" s="47" t="s">
        <v>33</v>
      </c>
    </row>
    <row r="946" customFormat="false" ht="15" hidden="false" customHeight="false" outlineLevel="0" collapsed="false">
      <c r="A946" s="0" t="s">
        <v>1729</v>
      </c>
      <c r="B946" s="0" t="s">
        <v>559</v>
      </c>
      <c r="C946" s="0" t="s">
        <v>684</v>
      </c>
      <c r="D946" s="46" t="n">
        <v>46290</v>
      </c>
      <c r="E946" s="47" t="s">
        <v>58</v>
      </c>
      <c r="F946" s="48" t="n">
        <v>63924.64</v>
      </c>
      <c r="G946" s="47" t="s">
        <v>65</v>
      </c>
      <c r="H946" s="47" t="s">
        <v>44</v>
      </c>
      <c r="I946" s="47" t="s">
        <v>80</v>
      </c>
      <c r="J946" s="47" t="s">
        <v>28</v>
      </c>
      <c r="K946" s="47" t="s">
        <v>34</v>
      </c>
    </row>
    <row r="947" customFormat="false" ht="15" hidden="false" customHeight="false" outlineLevel="0" collapsed="false">
      <c r="A947" s="0" t="s">
        <v>1730</v>
      </c>
      <c r="B947" s="0" t="s">
        <v>767</v>
      </c>
      <c r="D947" s="46" t="n">
        <v>46278</v>
      </c>
      <c r="E947" s="47" t="s">
        <v>59</v>
      </c>
      <c r="F947" s="48" t="n">
        <v>187787.52</v>
      </c>
      <c r="G947" s="47" t="s">
        <v>57</v>
      </c>
      <c r="H947" s="47" t="s">
        <v>46</v>
      </c>
      <c r="I947" s="47" t="s">
        <v>148</v>
      </c>
      <c r="J947" s="47" t="s">
        <v>28</v>
      </c>
      <c r="K947" s="47" t="s">
        <v>34</v>
      </c>
    </row>
    <row r="948" customFormat="false" ht="15" hidden="false" customHeight="false" outlineLevel="0" collapsed="false">
      <c r="A948" s="0" t="s">
        <v>1731</v>
      </c>
      <c r="B948" s="0" t="s">
        <v>1005</v>
      </c>
      <c r="C948" s="0" t="s">
        <v>1006</v>
      </c>
      <c r="D948" s="46" t="n">
        <v>45767</v>
      </c>
      <c r="E948" s="47" t="s">
        <v>60</v>
      </c>
      <c r="F948" s="48" t="n">
        <v>154292.7</v>
      </c>
      <c r="G948" s="47" t="s">
        <v>57</v>
      </c>
      <c r="H948" s="47" t="s">
        <v>40</v>
      </c>
      <c r="I948" s="47" t="s">
        <v>83</v>
      </c>
      <c r="J948" s="47" t="s">
        <v>28</v>
      </c>
      <c r="K948" s="47" t="s">
        <v>34</v>
      </c>
    </row>
    <row r="949" customFormat="false" ht="15" hidden="false" customHeight="false" outlineLevel="0" collapsed="false">
      <c r="A949" s="0" t="s">
        <v>1732</v>
      </c>
      <c r="B949" s="0" t="s">
        <v>1599</v>
      </c>
      <c r="D949" s="46" t="n">
        <v>45684</v>
      </c>
      <c r="E949" s="47" t="s">
        <v>53</v>
      </c>
      <c r="F949" s="48" t="n">
        <v>76824.08</v>
      </c>
      <c r="G949" s="47" t="s">
        <v>68</v>
      </c>
      <c r="H949" s="47" t="s">
        <v>44</v>
      </c>
      <c r="I949" s="47" t="s">
        <v>80</v>
      </c>
      <c r="J949" s="47" t="s">
        <v>28</v>
      </c>
      <c r="K949" s="47" t="s">
        <v>33</v>
      </c>
    </row>
    <row r="950" customFormat="false" ht="15" hidden="false" customHeight="false" outlineLevel="0" collapsed="false">
      <c r="A950" s="0" t="s">
        <v>1733</v>
      </c>
      <c r="B950" s="0" t="s">
        <v>82</v>
      </c>
      <c r="D950" s="46" t="n">
        <v>45771</v>
      </c>
      <c r="E950" s="47" t="s">
        <v>62</v>
      </c>
      <c r="F950" s="48" t="n">
        <v>124764.56</v>
      </c>
      <c r="G950" s="47" t="s">
        <v>65</v>
      </c>
      <c r="H950" s="47" t="s">
        <v>40</v>
      </c>
      <c r="I950" s="47" t="s">
        <v>83</v>
      </c>
      <c r="J950" s="47" t="s">
        <v>28</v>
      </c>
      <c r="K950" s="47" t="s">
        <v>33</v>
      </c>
    </row>
    <row r="951" customFormat="false" ht="15" hidden="false" customHeight="false" outlineLevel="0" collapsed="false">
      <c r="A951" s="0" t="s">
        <v>1734</v>
      </c>
      <c r="B951" s="0" t="s">
        <v>1452</v>
      </c>
      <c r="D951" s="46" t="n">
        <v>45996</v>
      </c>
      <c r="E951" s="47" t="s">
        <v>61</v>
      </c>
      <c r="F951" s="48" t="n">
        <v>124808.82</v>
      </c>
      <c r="G951" s="47" t="s">
        <v>66</v>
      </c>
      <c r="H951" s="47" t="s">
        <v>48</v>
      </c>
      <c r="I951" s="47" t="s">
        <v>212</v>
      </c>
      <c r="J951" s="47" t="s">
        <v>30</v>
      </c>
      <c r="K951" s="47" t="s">
        <v>34</v>
      </c>
    </row>
    <row r="952" customFormat="false" ht="15" hidden="false" customHeight="false" outlineLevel="0" collapsed="false">
      <c r="A952" s="0" t="s">
        <v>1735</v>
      </c>
      <c r="B952" s="0" t="s">
        <v>376</v>
      </c>
      <c r="D952" s="46" t="n">
        <v>45809</v>
      </c>
      <c r="E952" s="47" t="s">
        <v>55</v>
      </c>
      <c r="F952" s="48" t="n">
        <v>120985.81</v>
      </c>
      <c r="G952" s="47" t="s">
        <v>65</v>
      </c>
      <c r="H952" s="47" t="s">
        <v>44</v>
      </c>
      <c r="I952" s="47" t="s">
        <v>80</v>
      </c>
      <c r="J952" s="47" t="s">
        <v>28</v>
      </c>
      <c r="K952" s="47" t="s">
        <v>34</v>
      </c>
    </row>
    <row r="953" customFormat="false" ht="15" hidden="false" customHeight="false" outlineLevel="0" collapsed="false">
      <c r="A953" s="0" t="s">
        <v>1736</v>
      </c>
      <c r="B953" s="0" t="s">
        <v>252</v>
      </c>
      <c r="C953" s="0" t="s">
        <v>1302</v>
      </c>
      <c r="D953" s="46" t="n">
        <v>46128</v>
      </c>
      <c r="E953" s="47" t="s">
        <v>59</v>
      </c>
      <c r="F953" s="48" t="n">
        <v>11561.82</v>
      </c>
      <c r="G953" s="47" t="s">
        <v>66</v>
      </c>
      <c r="H953" s="47" t="s">
        <v>40</v>
      </c>
      <c r="I953" s="47" t="s">
        <v>253</v>
      </c>
      <c r="J953" s="47" t="s">
        <v>28</v>
      </c>
      <c r="K953" s="47" t="s">
        <v>34</v>
      </c>
    </row>
    <row r="954" customFormat="false" ht="15" hidden="false" customHeight="false" outlineLevel="0" collapsed="false">
      <c r="A954" s="0" t="s">
        <v>1737</v>
      </c>
      <c r="B954" s="0" t="s">
        <v>1738</v>
      </c>
      <c r="D954" s="46" t="n">
        <v>46235</v>
      </c>
      <c r="E954" s="47" t="s">
        <v>61</v>
      </c>
      <c r="F954" s="48" t="n">
        <v>168715.57</v>
      </c>
      <c r="G954" s="47" t="s">
        <v>66</v>
      </c>
      <c r="H954" s="47" t="s">
        <v>47</v>
      </c>
      <c r="I954" s="47" t="s">
        <v>166</v>
      </c>
      <c r="J954" s="47" t="s">
        <v>28</v>
      </c>
      <c r="K954" s="47" t="s">
        <v>33</v>
      </c>
    </row>
    <row r="955" customFormat="false" ht="15" hidden="false" customHeight="false" outlineLevel="0" collapsed="false">
      <c r="A955" s="0" t="s">
        <v>1739</v>
      </c>
      <c r="B955" s="0" t="s">
        <v>889</v>
      </c>
      <c r="D955" s="46" t="n">
        <v>45996</v>
      </c>
      <c r="E955" s="47" t="s">
        <v>60</v>
      </c>
      <c r="F955" s="48" t="n">
        <v>83017.21</v>
      </c>
      <c r="G955" s="47" t="s">
        <v>65</v>
      </c>
      <c r="H955" s="47" t="s">
        <v>43</v>
      </c>
      <c r="I955" s="47" t="s">
        <v>102</v>
      </c>
      <c r="J955" s="47" t="s">
        <v>28</v>
      </c>
      <c r="K955" s="47" t="s">
        <v>33</v>
      </c>
    </row>
    <row r="956" customFormat="false" ht="15" hidden="false" customHeight="false" outlineLevel="0" collapsed="false">
      <c r="A956" s="0" t="s">
        <v>1740</v>
      </c>
      <c r="B956" s="0" t="s">
        <v>1741</v>
      </c>
      <c r="D956" s="46" t="n">
        <v>46077</v>
      </c>
      <c r="E956" s="47" t="s">
        <v>53</v>
      </c>
      <c r="F956" s="48" t="n">
        <v>113613.69</v>
      </c>
      <c r="G956" s="47" t="s">
        <v>53</v>
      </c>
      <c r="H956" s="47" t="s">
        <v>42</v>
      </c>
      <c r="I956" s="47" t="s">
        <v>105</v>
      </c>
      <c r="J956" s="47" t="s">
        <v>28</v>
      </c>
      <c r="K956" s="47" t="s">
        <v>33</v>
      </c>
    </row>
    <row r="957" customFormat="false" ht="15" hidden="false" customHeight="false" outlineLevel="0" collapsed="false">
      <c r="A957" s="0" t="s">
        <v>1742</v>
      </c>
      <c r="B957" s="0" t="s">
        <v>378</v>
      </c>
      <c r="D957" s="46" t="n">
        <v>46180</v>
      </c>
      <c r="E957" s="47" t="s">
        <v>60</v>
      </c>
      <c r="F957" s="48" t="n">
        <v>170525.87</v>
      </c>
      <c r="G957" s="47" t="s">
        <v>68</v>
      </c>
      <c r="H957" s="47" t="s">
        <v>41</v>
      </c>
      <c r="I957" s="47" t="s">
        <v>272</v>
      </c>
      <c r="J957" s="47" t="s">
        <v>28</v>
      </c>
      <c r="K957" s="47" t="s">
        <v>33</v>
      </c>
    </row>
    <row r="958" customFormat="false" ht="15" hidden="false" customHeight="false" outlineLevel="0" collapsed="false">
      <c r="A958" s="0" t="s">
        <v>1743</v>
      </c>
      <c r="B958" s="0" t="s">
        <v>1440</v>
      </c>
      <c r="D958" s="46" t="n">
        <v>46231</v>
      </c>
      <c r="E958" s="47" t="s">
        <v>55</v>
      </c>
      <c r="F958" s="48" t="n">
        <v>9389.23</v>
      </c>
      <c r="G958" s="47" t="s">
        <v>65</v>
      </c>
      <c r="H958" s="47" t="s">
        <v>45</v>
      </c>
      <c r="I958" s="47" t="s">
        <v>217</v>
      </c>
      <c r="J958" s="47" t="s">
        <v>28</v>
      </c>
      <c r="K958" s="47" t="s">
        <v>33</v>
      </c>
    </row>
    <row r="959" customFormat="false" ht="15" hidden="false" customHeight="false" outlineLevel="0" collapsed="false">
      <c r="A959" s="0" t="s">
        <v>1744</v>
      </c>
      <c r="B959" s="0" t="s">
        <v>1745</v>
      </c>
      <c r="D959" s="46" t="n">
        <v>45857</v>
      </c>
      <c r="E959" s="47" t="s">
        <v>55</v>
      </c>
      <c r="F959" s="48" t="n">
        <v>139029.3</v>
      </c>
      <c r="G959" s="47" t="s">
        <v>53</v>
      </c>
      <c r="H959" s="47" t="s">
        <v>39</v>
      </c>
      <c r="I959" s="47" t="s">
        <v>177</v>
      </c>
      <c r="J959" s="47" t="s">
        <v>28</v>
      </c>
      <c r="K959" s="47" t="s">
        <v>34</v>
      </c>
    </row>
    <row r="960" customFormat="false" ht="15" hidden="false" customHeight="false" outlineLevel="0" collapsed="false">
      <c r="A960" s="0" t="s">
        <v>1746</v>
      </c>
      <c r="B960" s="0" t="s">
        <v>203</v>
      </c>
      <c r="C960" s="0" t="s">
        <v>993</v>
      </c>
      <c r="D960" s="46" t="n">
        <v>45721</v>
      </c>
      <c r="E960" s="47" t="s">
        <v>61</v>
      </c>
      <c r="F960" s="48" t="n">
        <v>52872.19</v>
      </c>
      <c r="G960" s="47" t="s">
        <v>53</v>
      </c>
      <c r="H960" s="47" t="s">
        <v>39</v>
      </c>
      <c r="I960" s="47" t="s">
        <v>177</v>
      </c>
      <c r="J960" s="47" t="s">
        <v>28</v>
      </c>
      <c r="K960" s="47" t="s">
        <v>34</v>
      </c>
    </row>
    <row r="961" customFormat="false" ht="15" hidden="false" customHeight="false" outlineLevel="0" collapsed="false">
      <c r="A961" s="0" t="s">
        <v>1747</v>
      </c>
      <c r="B961" s="0" t="s">
        <v>1748</v>
      </c>
      <c r="D961" s="46" t="n">
        <v>46123</v>
      </c>
      <c r="E961" s="47" t="s">
        <v>55</v>
      </c>
      <c r="F961" s="48" t="n">
        <v>23238.32</v>
      </c>
      <c r="G961" s="47" t="s">
        <v>53</v>
      </c>
      <c r="H961" s="47" t="s">
        <v>46</v>
      </c>
      <c r="I961" s="47" t="s">
        <v>242</v>
      </c>
      <c r="J961" s="47" t="s">
        <v>30</v>
      </c>
      <c r="K961" s="47" t="s">
        <v>34</v>
      </c>
    </row>
    <row r="962" customFormat="false" ht="15" hidden="false" customHeight="false" outlineLevel="0" collapsed="false">
      <c r="A962" s="0" t="s">
        <v>1749</v>
      </c>
      <c r="B962" s="0" t="s">
        <v>639</v>
      </c>
      <c r="C962" s="0" t="s">
        <v>640</v>
      </c>
      <c r="D962" s="46" t="n">
        <v>45659</v>
      </c>
      <c r="E962" s="47" t="s">
        <v>60</v>
      </c>
      <c r="F962" s="48" t="n">
        <v>34030.2</v>
      </c>
      <c r="G962" s="47" t="s">
        <v>57</v>
      </c>
      <c r="H962" s="47" t="s">
        <v>45</v>
      </c>
      <c r="I962" s="47" t="s">
        <v>95</v>
      </c>
      <c r="J962" s="47" t="s">
        <v>28</v>
      </c>
      <c r="K962" s="47" t="s">
        <v>34</v>
      </c>
    </row>
    <row r="963" customFormat="false" ht="15" hidden="false" customHeight="false" outlineLevel="0" collapsed="false">
      <c r="A963" s="0" t="s">
        <v>1750</v>
      </c>
      <c r="B963" s="0" t="s">
        <v>552</v>
      </c>
      <c r="D963" s="46" t="n">
        <v>45994</v>
      </c>
      <c r="E963" s="47" t="s">
        <v>62</v>
      </c>
      <c r="F963" s="48" t="n">
        <v>42484.78</v>
      </c>
      <c r="G963" s="47" t="s">
        <v>53</v>
      </c>
      <c r="H963" s="47" t="s">
        <v>46</v>
      </c>
      <c r="I963" s="47" t="s">
        <v>121</v>
      </c>
      <c r="J963" s="47" t="s">
        <v>28</v>
      </c>
      <c r="K963" s="47" t="s">
        <v>33</v>
      </c>
    </row>
    <row r="964" customFormat="false" ht="15" hidden="false" customHeight="false" outlineLevel="0" collapsed="false">
      <c r="A964" s="0" t="s">
        <v>1751</v>
      </c>
      <c r="B964" s="0" t="s">
        <v>1599</v>
      </c>
      <c r="D964" s="46" t="n">
        <v>45765</v>
      </c>
      <c r="E964" s="47" t="s">
        <v>60</v>
      </c>
      <c r="F964" s="48" t="n">
        <v>94567.09</v>
      </c>
      <c r="G964" s="47" t="s">
        <v>66</v>
      </c>
      <c r="H964" s="47" t="s">
        <v>44</v>
      </c>
      <c r="I964" s="47" t="s">
        <v>80</v>
      </c>
      <c r="J964" s="47" t="s">
        <v>28</v>
      </c>
      <c r="K964" s="47" t="s">
        <v>34</v>
      </c>
    </row>
    <row r="965" customFormat="false" ht="15" hidden="false" customHeight="false" outlineLevel="0" collapsed="false">
      <c r="A965" s="0" t="s">
        <v>1752</v>
      </c>
      <c r="B965" s="0" t="s">
        <v>538</v>
      </c>
      <c r="D965" s="46" t="n">
        <v>45737</v>
      </c>
      <c r="E965" s="47" t="s">
        <v>61</v>
      </c>
      <c r="F965" s="48" t="n">
        <v>62295.61</v>
      </c>
      <c r="G965" s="47" t="s">
        <v>68</v>
      </c>
      <c r="H965" s="47" t="s">
        <v>46</v>
      </c>
      <c r="I965" s="47" t="s">
        <v>242</v>
      </c>
      <c r="J965" s="47" t="s">
        <v>28</v>
      </c>
      <c r="K965" s="47" t="s">
        <v>33</v>
      </c>
    </row>
    <row r="966" customFormat="false" ht="15" hidden="false" customHeight="false" outlineLevel="0" collapsed="false">
      <c r="A966" s="0" t="s">
        <v>1753</v>
      </c>
      <c r="B966" s="0" t="s">
        <v>1754</v>
      </c>
      <c r="D966" s="46" t="n">
        <v>45727</v>
      </c>
      <c r="E966" s="47" t="s">
        <v>58</v>
      </c>
      <c r="F966" s="48" t="n">
        <v>22297.83</v>
      </c>
      <c r="G966" s="47" t="s">
        <v>53</v>
      </c>
      <c r="H966" s="47" t="s">
        <v>47</v>
      </c>
      <c r="I966" s="47" t="s">
        <v>166</v>
      </c>
      <c r="J966" s="47" t="s">
        <v>28</v>
      </c>
      <c r="K966" s="47" t="s">
        <v>33</v>
      </c>
    </row>
    <row r="967" customFormat="false" ht="15" hidden="false" customHeight="false" outlineLevel="0" collapsed="false">
      <c r="A967" s="0" t="s">
        <v>1755</v>
      </c>
      <c r="B967" s="0" t="s">
        <v>806</v>
      </c>
      <c r="D967" s="46" t="n">
        <v>45973</v>
      </c>
      <c r="E967" s="47" t="s">
        <v>53</v>
      </c>
      <c r="F967" s="48" t="n">
        <v>77817.62</v>
      </c>
      <c r="G967" s="47" t="s">
        <v>65</v>
      </c>
      <c r="H967" s="47" t="s">
        <v>47</v>
      </c>
      <c r="I967" s="47" t="s">
        <v>108</v>
      </c>
      <c r="J967" s="47" t="s">
        <v>28</v>
      </c>
      <c r="K967" s="47" t="s">
        <v>34</v>
      </c>
    </row>
    <row r="968" customFormat="false" ht="15" hidden="false" customHeight="false" outlineLevel="0" collapsed="false">
      <c r="A968" s="0" t="s">
        <v>1756</v>
      </c>
      <c r="B968" s="0" t="s">
        <v>1757</v>
      </c>
      <c r="D968" s="46" t="n">
        <v>45983</v>
      </c>
      <c r="E968" s="47" t="s">
        <v>53</v>
      </c>
      <c r="F968" s="48" t="n">
        <v>4078.04</v>
      </c>
      <c r="G968" s="47" t="s">
        <v>65</v>
      </c>
      <c r="H968" s="47" t="s">
        <v>45</v>
      </c>
      <c r="I968" s="47" t="s">
        <v>95</v>
      </c>
      <c r="J968" s="47" t="s">
        <v>28</v>
      </c>
      <c r="K968" s="47" t="s">
        <v>33</v>
      </c>
    </row>
    <row r="969" customFormat="false" ht="15" hidden="false" customHeight="false" outlineLevel="0" collapsed="false">
      <c r="A969" s="0" t="s">
        <v>1758</v>
      </c>
      <c r="B969" s="0" t="s">
        <v>459</v>
      </c>
      <c r="D969" s="46" t="n">
        <v>46218</v>
      </c>
      <c r="E969" s="47" t="s">
        <v>62</v>
      </c>
      <c r="F969" s="48" t="n">
        <v>174870.11</v>
      </c>
      <c r="G969" s="47" t="s">
        <v>53</v>
      </c>
      <c r="H969" s="47" t="s">
        <v>45</v>
      </c>
      <c r="I969" s="47" t="s">
        <v>217</v>
      </c>
      <c r="J969" s="47" t="s">
        <v>28</v>
      </c>
      <c r="K969" s="47" t="s">
        <v>33</v>
      </c>
    </row>
    <row r="970" customFormat="false" ht="15" hidden="false" customHeight="false" outlineLevel="0" collapsed="false">
      <c r="A970" s="0" t="s">
        <v>1759</v>
      </c>
      <c r="B970" s="0" t="s">
        <v>1706</v>
      </c>
      <c r="D970" s="46" t="n">
        <v>46212</v>
      </c>
      <c r="E970" s="47" t="s">
        <v>60</v>
      </c>
      <c r="F970" s="48" t="n">
        <v>77854.27</v>
      </c>
      <c r="G970" s="47" t="s">
        <v>53</v>
      </c>
      <c r="H970" s="47" t="s">
        <v>46</v>
      </c>
      <c r="I970" s="47" t="s">
        <v>121</v>
      </c>
      <c r="J970" s="47" t="s">
        <v>28</v>
      </c>
      <c r="K970" s="47" t="s">
        <v>34</v>
      </c>
    </row>
    <row r="971" customFormat="false" ht="15" hidden="false" customHeight="false" outlineLevel="0" collapsed="false">
      <c r="A971" s="0" t="s">
        <v>1760</v>
      </c>
      <c r="B971" s="0" t="s">
        <v>1323</v>
      </c>
      <c r="D971" s="46" t="n">
        <v>46078</v>
      </c>
      <c r="E971" s="47" t="s">
        <v>53</v>
      </c>
      <c r="F971" s="48" t="n">
        <v>78637.92</v>
      </c>
      <c r="G971" s="47" t="s">
        <v>57</v>
      </c>
      <c r="H971" s="47" t="s">
        <v>45</v>
      </c>
      <c r="I971" s="47" t="s">
        <v>151</v>
      </c>
      <c r="J971" s="47" t="s">
        <v>28</v>
      </c>
      <c r="K971" s="47" t="s">
        <v>34</v>
      </c>
    </row>
    <row r="972" customFormat="false" ht="15" hidden="false" customHeight="false" outlineLevel="0" collapsed="false">
      <c r="A972" s="0" t="s">
        <v>1761</v>
      </c>
      <c r="B972" s="0" t="s">
        <v>1408</v>
      </c>
      <c r="D972" s="46" t="n">
        <v>46092</v>
      </c>
      <c r="E972" s="47" t="s">
        <v>55</v>
      </c>
      <c r="F972" s="48" t="n">
        <v>113035.45</v>
      </c>
      <c r="G972" s="47" t="s">
        <v>65</v>
      </c>
      <c r="H972" s="47" t="s">
        <v>46</v>
      </c>
      <c r="I972" s="47" t="s">
        <v>242</v>
      </c>
      <c r="J972" s="47" t="s">
        <v>28</v>
      </c>
      <c r="K972" s="47" t="s">
        <v>33</v>
      </c>
    </row>
    <row r="973" customFormat="false" ht="15" hidden="false" customHeight="false" outlineLevel="0" collapsed="false">
      <c r="A973" s="0" t="s">
        <v>1762</v>
      </c>
      <c r="B973" s="0" t="s">
        <v>1763</v>
      </c>
      <c r="D973" s="46" t="n">
        <v>45898</v>
      </c>
      <c r="E973" s="47" t="s">
        <v>61</v>
      </c>
      <c r="F973" s="48" t="n">
        <v>120180.44</v>
      </c>
      <c r="G973" s="47" t="s">
        <v>57</v>
      </c>
      <c r="H973" s="47" t="s">
        <v>48</v>
      </c>
      <c r="I973" s="47" t="s">
        <v>114</v>
      </c>
      <c r="J973" s="47" t="s">
        <v>28</v>
      </c>
      <c r="K973" s="47" t="s">
        <v>33</v>
      </c>
    </row>
    <row r="974" customFormat="false" ht="15" hidden="false" customHeight="false" outlineLevel="0" collapsed="false">
      <c r="A974" s="0" t="s">
        <v>1764</v>
      </c>
      <c r="B974" s="0" t="s">
        <v>1472</v>
      </c>
      <c r="D974" s="46" t="n">
        <v>45812</v>
      </c>
      <c r="E974" s="47" t="s">
        <v>62</v>
      </c>
      <c r="F974" s="48" t="n">
        <v>178253.9</v>
      </c>
      <c r="G974" s="47" t="s">
        <v>53</v>
      </c>
      <c r="H974" s="47" t="s">
        <v>44</v>
      </c>
      <c r="I974" s="47" t="s">
        <v>132</v>
      </c>
      <c r="J974" s="47" t="s">
        <v>28</v>
      </c>
      <c r="K974" s="47" t="s">
        <v>34</v>
      </c>
    </row>
    <row r="975" customFormat="false" ht="15" hidden="false" customHeight="false" outlineLevel="0" collapsed="false">
      <c r="A975" s="0" t="s">
        <v>1765</v>
      </c>
      <c r="B975" s="0" t="s">
        <v>257</v>
      </c>
      <c r="D975" s="46" t="n">
        <v>45670</v>
      </c>
      <c r="E975" s="47" t="s">
        <v>61</v>
      </c>
      <c r="F975" s="48" t="n">
        <v>41155.63</v>
      </c>
      <c r="G975" s="47" t="s">
        <v>68</v>
      </c>
      <c r="H975" s="47" t="s">
        <v>45</v>
      </c>
      <c r="I975" s="47" t="s">
        <v>151</v>
      </c>
      <c r="J975" s="47" t="s">
        <v>28</v>
      </c>
      <c r="K975" s="47" t="s">
        <v>34</v>
      </c>
    </row>
    <row r="976" customFormat="false" ht="15" hidden="false" customHeight="false" outlineLevel="0" collapsed="false">
      <c r="A976" s="0" t="s">
        <v>1766</v>
      </c>
      <c r="B976" s="0" t="s">
        <v>1767</v>
      </c>
      <c r="D976" s="46" t="n">
        <v>46040</v>
      </c>
      <c r="E976" s="47" t="s">
        <v>59</v>
      </c>
      <c r="F976" s="48" t="n">
        <v>15635.55</v>
      </c>
      <c r="G976" s="47" t="s">
        <v>66</v>
      </c>
      <c r="H976" s="47" t="s">
        <v>46</v>
      </c>
      <c r="I976" s="47" t="s">
        <v>242</v>
      </c>
      <c r="J976" s="47" t="s">
        <v>28</v>
      </c>
      <c r="K976" s="47" t="s">
        <v>34</v>
      </c>
    </row>
    <row r="977" customFormat="false" ht="15" hidden="false" customHeight="false" outlineLevel="0" collapsed="false">
      <c r="A977" s="0" t="s">
        <v>1768</v>
      </c>
      <c r="B977" s="0" t="s">
        <v>1769</v>
      </c>
      <c r="D977" s="46" t="n">
        <v>46255</v>
      </c>
      <c r="E977" s="47" t="s">
        <v>58</v>
      </c>
      <c r="F977" s="48" t="n">
        <v>126656.5</v>
      </c>
      <c r="G977" s="47" t="s">
        <v>68</v>
      </c>
      <c r="H977" s="47" t="s">
        <v>40</v>
      </c>
      <c r="I977" s="47" t="s">
        <v>89</v>
      </c>
      <c r="J977" s="47" t="s">
        <v>28</v>
      </c>
      <c r="K977" s="47" t="s">
        <v>33</v>
      </c>
    </row>
    <row r="978" customFormat="false" ht="15" hidden="false" customHeight="false" outlineLevel="0" collapsed="false">
      <c r="A978" s="0" t="s">
        <v>1770</v>
      </c>
      <c r="B978" s="0" t="s">
        <v>1052</v>
      </c>
      <c r="D978" s="46" t="n">
        <v>46079</v>
      </c>
      <c r="E978" s="47" t="s">
        <v>61</v>
      </c>
      <c r="F978" s="48" t="n">
        <v>157644.31</v>
      </c>
      <c r="G978" s="47" t="s">
        <v>68</v>
      </c>
      <c r="H978" s="47" t="s">
        <v>44</v>
      </c>
      <c r="I978" s="47" t="s">
        <v>80</v>
      </c>
      <c r="J978" s="47" t="s">
        <v>28</v>
      </c>
      <c r="K978" s="47" t="s">
        <v>33</v>
      </c>
    </row>
    <row r="979" customFormat="false" ht="15" hidden="false" customHeight="false" outlineLevel="0" collapsed="false">
      <c r="A979" s="0" t="s">
        <v>1771</v>
      </c>
      <c r="B979" s="0" t="s">
        <v>1772</v>
      </c>
      <c r="D979" s="46" t="n">
        <v>46207</v>
      </c>
      <c r="E979" s="47" t="s">
        <v>60</v>
      </c>
      <c r="F979" s="48" t="n">
        <v>139355.11</v>
      </c>
      <c r="G979" s="47" t="s">
        <v>65</v>
      </c>
      <c r="H979" s="47" t="s">
        <v>48</v>
      </c>
      <c r="I979" s="47" t="s">
        <v>212</v>
      </c>
      <c r="J979" s="47" t="s">
        <v>28</v>
      </c>
      <c r="K979" s="47" t="s">
        <v>34</v>
      </c>
    </row>
    <row r="980" customFormat="false" ht="15" hidden="false" customHeight="false" outlineLevel="0" collapsed="false">
      <c r="A980" s="0" t="s">
        <v>1773</v>
      </c>
      <c r="B980" s="0" t="s">
        <v>1774</v>
      </c>
      <c r="D980" s="46" t="n">
        <v>45784</v>
      </c>
      <c r="E980" s="47" t="s">
        <v>59</v>
      </c>
      <c r="F980" s="48" t="n">
        <v>70671.1</v>
      </c>
      <c r="G980" s="47" t="s">
        <v>66</v>
      </c>
      <c r="H980" s="47" t="s">
        <v>47</v>
      </c>
      <c r="I980" s="47" t="s">
        <v>108</v>
      </c>
      <c r="J980" s="47" t="s">
        <v>28</v>
      </c>
      <c r="K980" s="47" t="s">
        <v>33</v>
      </c>
    </row>
    <row r="981" customFormat="false" ht="15" hidden="false" customHeight="false" outlineLevel="0" collapsed="false">
      <c r="A981" s="0" t="s">
        <v>1775</v>
      </c>
      <c r="B981" s="0" t="s">
        <v>384</v>
      </c>
      <c r="D981" s="46" t="n">
        <v>45876</v>
      </c>
      <c r="E981" s="47" t="s">
        <v>58</v>
      </c>
      <c r="F981" s="48" t="n">
        <v>120437.53</v>
      </c>
      <c r="G981" s="47" t="s">
        <v>65</v>
      </c>
      <c r="H981" s="47" t="s">
        <v>47</v>
      </c>
      <c r="I981" s="47" t="s">
        <v>245</v>
      </c>
      <c r="J981" s="47" t="s">
        <v>28</v>
      </c>
      <c r="K981" s="47" t="s">
        <v>33</v>
      </c>
    </row>
    <row r="982" customFormat="false" ht="15" hidden="false" customHeight="false" outlineLevel="0" collapsed="false">
      <c r="A982" s="0" t="s">
        <v>1776</v>
      </c>
      <c r="B982" s="0" t="s">
        <v>1777</v>
      </c>
      <c r="D982" s="46" t="n">
        <v>46182</v>
      </c>
      <c r="E982" s="47" t="s">
        <v>53</v>
      </c>
      <c r="F982" s="48" t="n">
        <v>132774.07</v>
      </c>
      <c r="G982" s="47" t="s">
        <v>57</v>
      </c>
      <c r="H982" s="47" t="s">
        <v>41</v>
      </c>
      <c r="I982" s="47" t="s">
        <v>86</v>
      </c>
      <c r="J982" s="47" t="s">
        <v>28</v>
      </c>
      <c r="K982" s="47" t="s">
        <v>33</v>
      </c>
    </row>
    <row r="983" customFormat="false" ht="15" hidden="false" customHeight="false" outlineLevel="0" collapsed="false">
      <c r="A983" s="0" t="s">
        <v>1778</v>
      </c>
      <c r="B983" s="0" t="s">
        <v>1311</v>
      </c>
      <c r="D983" s="46" t="n">
        <v>46199</v>
      </c>
      <c r="E983" s="47" t="s">
        <v>55</v>
      </c>
      <c r="F983" s="48" t="n">
        <v>78090.81</v>
      </c>
      <c r="G983" s="47" t="s">
        <v>53</v>
      </c>
      <c r="H983" s="47" t="s">
        <v>45</v>
      </c>
      <c r="I983" s="47" t="s">
        <v>151</v>
      </c>
      <c r="J983" s="47" t="s">
        <v>28</v>
      </c>
      <c r="K983" s="47" t="s">
        <v>34</v>
      </c>
    </row>
    <row r="984" customFormat="false" ht="15" hidden="false" customHeight="false" outlineLevel="0" collapsed="false">
      <c r="A984" s="0" t="s">
        <v>1779</v>
      </c>
      <c r="B984" s="0" t="s">
        <v>1780</v>
      </c>
      <c r="D984" s="46" t="n">
        <v>46248</v>
      </c>
      <c r="E984" s="47" t="s">
        <v>55</v>
      </c>
      <c r="F984" s="48" t="n">
        <v>107475.19</v>
      </c>
      <c r="G984" s="47" t="s">
        <v>65</v>
      </c>
      <c r="H984" s="47" t="s">
        <v>39</v>
      </c>
      <c r="I984" s="47" t="s">
        <v>98</v>
      </c>
      <c r="J984" s="47" t="s">
        <v>29</v>
      </c>
      <c r="K984" s="47" t="s">
        <v>34</v>
      </c>
    </row>
    <row r="985" customFormat="false" ht="15" hidden="false" customHeight="false" outlineLevel="0" collapsed="false">
      <c r="A985" s="0" t="s">
        <v>1781</v>
      </c>
      <c r="B985" s="0" t="s">
        <v>1379</v>
      </c>
      <c r="D985" s="46" t="n">
        <v>45825</v>
      </c>
      <c r="E985" s="47" t="s">
        <v>62</v>
      </c>
      <c r="F985" s="48" t="n">
        <v>130440.91</v>
      </c>
      <c r="G985" s="47" t="s">
        <v>57</v>
      </c>
      <c r="H985" s="47" t="s">
        <v>48</v>
      </c>
      <c r="I985" s="47" t="s">
        <v>212</v>
      </c>
      <c r="J985" s="47" t="s">
        <v>28</v>
      </c>
      <c r="K985" s="47" t="s">
        <v>33</v>
      </c>
    </row>
    <row r="986" customFormat="false" ht="15" hidden="false" customHeight="false" outlineLevel="0" collapsed="false">
      <c r="A986" s="0" t="s">
        <v>1782</v>
      </c>
      <c r="B986" s="0" t="s">
        <v>1783</v>
      </c>
      <c r="D986" s="46" t="n">
        <v>46071</v>
      </c>
      <c r="E986" s="47" t="s">
        <v>53</v>
      </c>
      <c r="F986" s="48" t="n">
        <v>40538.05</v>
      </c>
      <c r="G986" s="47" t="s">
        <v>53</v>
      </c>
      <c r="H986" s="47" t="s">
        <v>44</v>
      </c>
      <c r="I986" s="47" t="s">
        <v>132</v>
      </c>
      <c r="J986" s="47" t="s">
        <v>28</v>
      </c>
      <c r="K986" s="47" t="s">
        <v>33</v>
      </c>
    </row>
    <row r="987" customFormat="false" ht="15" hidden="false" customHeight="false" outlineLevel="0" collapsed="false">
      <c r="A987" s="0" t="s">
        <v>1784</v>
      </c>
      <c r="B987" s="0" t="s">
        <v>1785</v>
      </c>
      <c r="D987" s="46" t="n">
        <v>45747</v>
      </c>
      <c r="E987" s="47" t="s">
        <v>61</v>
      </c>
      <c r="F987" s="48" t="n">
        <v>3091.61</v>
      </c>
      <c r="G987" s="47" t="s">
        <v>53</v>
      </c>
      <c r="H987" s="47" t="s">
        <v>43</v>
      </c>
      <c r="I987" s="47" t="s">
        <v>201</v>
      </c>
      <c r="J987" s="47" t="s">
        <v>28</v>
      </c>
      <c r="K987" s="47" t="s">
        <v>33</v>
      </c>
    </row>
    <row r="988" customFormat="false" ht="15" hidden="false" customHeight="false" outlineLevel="0" collapsed="false">
      <c r="A988" s="0" t="s">
        <v>1786</v>
      </c>
      <c r="B988" s="0" t="s">
        <v>1241</v>
      </c>
      <c r="D988" s="46" t="n">
        <v>46217</v>
      </c>
      <c r="E988" s="47" t="s">
        <v>61</v>
      </c>
      <c r="F988" s="48" t="n">
        <v>14940.55</v>
      </c>
      <c r="G988" s="47" t="s">
        <v>57</v>
      </c>
      <c r="H988" s="47" t="s">
        <v>43</v>
      </c>
      <c r="I988" s="47" t="s">
        <v>117</v>
      </c>
      <c r="J988" s="47" t="s">
        <v>28</v>
      </c>
      <c r="K988" s="47" t="s">
        <v>33</v>
      </c>
    </row>
    <row r="989" customFormat="false" ht="15" hidden="false" customHeight="false" outlineLevel="0" collapsed="false">
      <c r="A989" s="0" t="s">
        <v>1787</v>
      </c>
      <c r="B989" s="0" t="s">
        <v>1788</v>
      </c>
      <c r="C989" s="0" t="s">
        <v>1789</v>
      </c>
      <c r="D989" s="46" t="n">
        <v>45704</v>
      </c>
      <c r="E989" s="47" t="s">
        <v>61</v>
      </c>
      <c r="F989" s="48" t="n">
        <v>124933.19</v>
      </c>
      <c r="G989" s="47" t="s">
        <v>68</v>
      </c>
      <c r="H989" s="47" t="s">
        <v>47</v>
      </c>
      <c r="I989" s="47" t="s">
        <v>108</v>
      </c>
      <c r="J989" s="47" t="s">
        <v>28</v>
      </c>
      <c r="K989" s="47" t="s">
        <v>33</v>
      </c>
    </row>
    <row r="990" customFormat="false" ht="15" hidden="false" customHeight="false" outlineLevel="0" collapsed="false">
      <c r="A990" s="0" t="s">
        <v>1790</v>
      </c>
      <c r="B990" s="0" t="s">
        <v>1396</v>
      </c>
      <c r="C990" s="0" t="s">
        <v>1791</v>
      </c>
      <c r="D990" s="46" t="n">
        <v>46136</v>
      </c>
      <c r="E990" s="47" t="s">
        <v>59</v>
      </c>
      <c r="F990" s="48" t="n">
        <v>31914.92</v>
      </c>
      <c r="G990" s="47" t="s">
        <v>66</v>
      </c>
      <c r="H990" s="47" t="s">
        <v>44</v>
      </c>
      <c r="I990" s="47" t="s">
        <v>132</v>
      </c>
      <c r="J990" s="47" t="s">
        <v>28</v>
      </c>
      <c r="K990" s="47" t="s">
        <v>33</v>
      </c>
    </row>
    <row r="991" customFormat="false" ht="15" hidden="false" customHeight="false" outlineLevel="0" collapsed="false">
      <c r="A991" s="0" t="s">
        <v>1792</v>
      </c>
      <c r="B991" s="0" t="s">
        <v>1254</v>
      </c>
      <c r="D991" s="46" t="n">
        <v>45683</v>
      </c>
      <c r="E991" s="47" t="s">
        <v>59</v>
      </c>
      <c r="F991" s="48" t="n">
        <v>125893.42</v>
      </c>
      <c r="G991" s="47" t="s">
        <v>57</v>
      </c>
      <c r="H991" s="47" t="s">
        <v>44</v>
      </c>
      <c r="I991" s="47" t="s">
        <v>226</v>
      </c>
      <c r="J991" s="47" t="s">
        <v>28</v>
      </c>
      <c r="K991" s="47" t="s">
        <v>34</v>
      </c>
    </row>
    <row r="992" customFormat="false" ht="15" hidden="false" customHeight="false" outlineLevel="0" collapsed="false">
      <c r="A992" s="0" t="s">
        <v>1793</v>
      </c>
      <c r="B992" s="0" t="s">
        <v>1794</v>
      </c>
      <c r="D992" s="46" t="n">
        <v>46233</v>
      </c>
      <c r="E992" s="47" t="s">
        <v>61</v>
      </c>
      <c r="F992" s="48" t="n">
        <v>186873.37</v>
      </c>
      <c r="G992" s="47" t="s">
        <v>65</v>
      </c>
      <c r="H992" s="47" t="s">
        <v>40</v>
      </c>
      <c r="I992" s="47" t="s">
        <v>89</v>
      </c>
      <c r="J992" s="47" t="s">
        <v>28</v>
      </c>
      <c r="K992" s="47" t="s">
        <v>33</v>
      </c>
    </row>
    <row r="993" customFormat="false" ht="15" hidden="false" customHeight="false" outlineLevel="0" collapsed="false">
      <c r="A993" s="0" t="s">
        <v>1795</v>
      </c>
      <c r="B993" s="0" t="s">
        <v>981</v>
      </c>
      <c r="C993" s="0" t="s">
        <v>1796</v>
      </c>
      <c r="D993" s="46" t="n">
        <v>46110</v>
      </c>
      <c r="E993" s="47" t="s">
        <v>58</v>
      </c>
      <c r="F993" s="48" t="n">
        <v>179535.62</v>
      </c>
      <c r="G993" s="47" t="s">
        <v>66</v>
      </c>
      <c r="H993" s="47" t="s">
        <v>45</v>
      </c>
      <c r="I993" s="47" t="s">
        <v>217</v>
      </c>
      <c r="J993" s="47" t="s">
        <v>28</v>
      </c>
      <c r="K993" s="47" t="s">
        <v>33</v>
      </c>
    </row>
    <row r="994" customFormat="false" ht="15" hidden="false" customHeight="false" outlineLevel="0" collapsed="false">
      <c r="A994" s="0" t="s">
        <v>1797</v>
      </c>
      <c r="B994" s="0" t="s">
        <v>987</v>
      </c>
      <c r="D994" s="46" t="n">
        <v>45870</v>
      </c>
      <c r="E994" s="47" t="s">
        <v>59</v>
      </c>
      <c r="F994" s="48" t="n">
        <v>164352.27</v>
      </c>
      <c r="G994" s="47" t="s">
        <v>66</v>
      </c>
      <c r="H994" s="47" t="s">
        <v>43</v>
      </c>
      <c r="I994" s="47" t="s">
        <v>201</v>
      </c>
      <c r="J994" s="47" t="s">
        <v>28</v>
      </c>
      <c r="K994" s="47" t="s">
        <v>34</v>
      </c>
    </row>
    <row r="995" customFormat="false" ht="15" hidden="false" customHeight="false" outlineLevel="0" collapsed="false">
      <c r="A995" s="0" t="s">
        <v>1798</v>
      </c>
      <c r="B995" s="0" t="s">
        <v>1785</v>
      </c>
      <c r="D995" s="46" t="n">
        <v>46229</v>
      </c>
      <c r="E995" s="47" t="s">
        <v>58</v>
      </c>
      <c r="F995" s="48" t="n">
        <v>19686.65</v>
      </c>
      <c r="G995" s="47" t="s">
        <v>53</v>
      </c>
      <c r="H995" s="47" t="s">
        <v>43</v>
      </c>
      <c r="I995" s="47" t="s">
        <v>201</v>
      </c>
      <c r="J995" s="47" t="s">
        <v>28</v>
      </c>
      <c r="K995" s="47" t="s">
        <v>33</v>
      </c>
    </row>
    <row r="996" customFormat="false" ht="15" hidden="false" customHeight="false" outlineLevel="0" collapsed="false">
      <c r="A996" s="0" t="s">
        <v>1799</v>
      </c>
      <c r="B996" s="0" t="s">
        <v>704</v>
      </c>
      <c r="D996" s="46" t="n">
        <v>46280</v>
      </c>
      <c r="E996" s="47" t="s">
        <v>61</v>
      </c>
      <c r="F996" s="48" t="n">
        <v>141624.6</v>
      </c>
      <c r="G996" s="47" t="s">
        <v>68</v>
      </c>
      <c r="H996" s="47" t="s">
        <v>46</v>
      </c>
      <c r="I996" s="47" t="s">
        <v>121</v>
      </c>
      <c r="J996" s="47" t="s">
        <v>28</v>
      </c>
      <c r="K996" s="47" t="s">
        <v>34</v>
      </c>
    </row>
    <row r="997" customFormat="false" ht="15" hidden="false" customHeight="false" outlineLevel="0" collapsed="false">
      <c r="A997" s="0" t="s">
        <v>1800</v>
      </c>
      <c r="B997" s="0" t="s">
        <v>437</v>
      </c>
      <c r="D997" s="46" t="n">
        <v>45680</v>
      </c>
      <c r="E997" s="47" t="s">
        <v>62</v>
      </c>
      <c r="F997" s="48" t="n">
        <v>21090.3</v>
      </c>
      <c r="G997" s="47" t="s">
        <v>53</v>
      </c>
      <c r="H997" s="47" t="s">
        <v>39</v>
      </c>
      <c r="I997" s="47" t="s">
        <v>145</v>
      </c>
      <c r="J997" s="47" t="s">
        <v>28</v>
      </c>
      <c r="K997" s="47" t="s">
        <v>34</v>
      </c>
    </row>
    <row r="998" customFormat="false" ht="15" hidden="false" customHeight="false" outlineLevel="0" collapsed="false">
      <c r="A998" s="0" t="s">
        <v>1801</v>
      </c>
      <c r="B998" s="0" t="s">
        <v>1802</v>
      </c>
      <c r="D998" s="46" t="n">
        <v>46267</v>
      </c>
      <c r="E998" s="47" t="s">
        <v>58</v>
      </c>
      <c r="F998" s="48" t="n">
        <v>48357.82</v>
      </c>
      <c r="G998" s="47" t="s">
        <v>66</v>
      </c>
      <c r="H998" s="47" t="s">
        <v>43</v>
      </c>
      <c r="I998" s="47" t="s">
        <v>201</v>
      </c>
      <c r="J998" s="47" t="s">
        <v>28</v>
      </c>
      <c r="K998" s="47" t="s">
        <v>33</v>
      </c>
    </row>
    <row r="999" customFormat="false" ht="15" hidden="false" customHeight="false" outlineLevel="0" collapsed="false">
      <c r="A999" s="0" t="s">
        <v>1803</v>
      </c>
      <c r="B999" s="0" t="s">
        <v>475</v>
      </c>
      <c r="D999" s="46" t="n">
        <v>46208</v>
      </c>
      <c r="E999" s="47" t="s">
        <v>60</v>
      </c>
      <c r="F999" s="48" t="n">
        <v>173099.52</v>
      </c>
      <c r="G999" s="47" t="s">
        <v>65</v>
      </c>
      <c r="H999" s="47" t="s">
        <v>42</v>
      </c>
      <c r="I999" s="47" t="s">
        <v>398</v>
      </c>
      <c r="J999" s="47" t="s">
        <v>28</v>
      </c>
      <c r="K999" s="47" t="s">
        <v>34</v>
      </c>
    </row>
    <row r="1000" customFormat="false" ht="15" hidden="false" customHeight="false" outlineLevel="0" collapsed="false">
      <c r="A1000" s="0" t="s">
        <v>1804</v>
      </c>
      <c r="B1000" s="0" t="s">
        <v>97</v>
      </c>
      <c r="D1000" s="46" t="n">
        <v>46185</v>
      </c>
      <c r="E1000" s="47" t="s">
        <v>55</v>
      </c>
      <c r="F1000" s="48" t="n">
        <v>98360.97</v>
      </c>
      <c r="G1000" s="47" t="s">
        <v>53</v>
      </c>
      <c r="H1000" s="47" t="s">
        <v>39</v>
      </c>
      <c r="I1000" s="47" t="s">
        <v>98</v>
      </c>
      <c r="J1000" s="47" t="s">
        <v>28</v>
      </c>
      <c r="K1000" s="47" t="s">
        <v>34</v>
      </c>
    </row>
    <row r="1001" customFormat="false" ht="15" hidden="false" customHeight="false" outlineLevel="0" collapsed="false">
      <c r="A1001" s="0" t="s">
        <v>1805</v>
      </c>
      <c r="B1001" s="0" t="s">
        <v>812</v>
      </c>
      <c r="D1001" s="46" t="n">
        <v>45908</v>
      </c>
      <c r="E1001" s="47" t="s">
        <v>59</v>
      </c>
      <c r="F1001" s="48" t="n">
        <v>36766.98</v>
      </c>
      <c r="G1001" s="47" t="s">
        <v>53</v>
      </c>
      <c r="H1001" s="47" t="s">
        <v>43</v>
      </c>
      <c r="I1001" s="47" t="s">
        <v>201</v>
      </c>
      <c r="J1001" s="47" t="s">
        <v>28</v>
      </c>
      <c r="K1001" s="47" t="s">
        <v>33</v>
      </c>
    </row>
    <row r="1002" customFormat="false" ht="15" hidden="false" customHeight="false" outlineLevel="0" collapsed="false">
      <c r="A1002" s="0" t="s">
        <v>1806</v>
      </c>
      <c r="B1002" s="0" t="s">
        <v>1426</v>
      </c>
      <c r="C1002" s="0" t="s">
        <v>1807</v>
      </c>
      <c r="D1002" s="46" t="n">
        <v>46039</v>
      </c>
      <c r="E1002" s="47" t="s">
        <v>59</v>
      </c>
      <c r="F1002" s="48" t="n">
        <v>111812.7</v>
      </c>
      <c r="G1002" s="47" t="s">
        <v>68</v>
      </c>
      <c r="H1002" s="47" t="s">
        <v>45</v>
      </c>
      <c r="I1002" s="47" t="s">
        <v>217</v>
      </c>
      <c r="J1002" s="47" t="s">
        <v>28</v>
      </c>
      <c r="K1002" s="47" t="s">
        <v>33</v>
      </c>
    </row>
    <row r="1003" customFormat="false" ht="15" hidden="false" customHeight="false" outlineLevel="0" collapsed="false">
      <c r="A1003" s="0" t="s">
        <v>1808</v>
      </c>
      <c r="B1003" s="0" t="s">
        <v>181</v>
      </c>
      <c r="D1003" s="46" t="n">
        <v>46038</v>
      </c>
      <c r="E1003" s="47" t="s">
        <v>59</v>
      </c>
      <c r="F1003" s="48" t="n">
        <v>111695.59</v>
      </c>
      <c r="G1003" s="47" t="s">
        <v>57</v>
      </c>
      <c r="H1003" s="47" t="s">
        <v>47</v>
      </c>
      <c r="I1003" s="47" t="s">
        <v>108</v>
      </c>
      <c r="J1003" s="47" t="s">
        <v>29</v>
      </c>
      <c r="K1003" s="47" t="s">
        <v>33</v>
      </c>
    </row>
    <row r="1004" customFormat="false" ht="15" hidden="false" customHeight="false" outlineLevel="0" collapsed="false">
      <c r="A1004" s="0" t="s">
        <v>1809</v>
      </c>
      <c r="B1004" s="0" t="s">
        <v>777</v>
      </c>
      <c r="D1004" s="46" t="n">
        <v>45767</v>
      </c>
      <c r="E1004" s="47" t="s">
        <v>61</v>
      </c>
      <c r="F1004" s="48" t="n">
        <v>150464.26</v>
      </c>
      <c r="G1004" s="47" t="s">
        <v>65</v>
      </c>
      <c r="H1004" s="47" t="s">
        <v>39</v>
      </c>
      <c r="I1004" s="47" t="s">
        <v>177</v>
      </c>
      <c r="J1004" s="47" t="s">
        <v>28</v>
      </c>
      <c r="K1004" s="47" t="s">
        <v>34</v>
      </c>
    </row>
    <row r="1005" customFormat="false" ht="15" hidden="false" customHeight="false" outlineLevel="0" collapsed="false">
      <c r="A1005" s="0" t="s">
        <v>1810</v>
      </c>
      <c r="B1005" s="0" t="s">
        <v>747</v>
      </c>
      <c r="D1005" s="46" t="n">
        <v>46178</v>
      </c>
      <c r="E1005" s="47" t="s">
        <v>59</v>
      </c>
      <c r="F1005" s="48" t="n">
        <v>186870.56</v>
      </c>
      <c r="G1005" s="47" t="s">
        <v>53</v>
      </c>
      <c r="H1005" s="47" t="s">
        <v>48</v>
      </c>
      <c r="I1005" s="47" t="s">
        <v>114</v>
      </c>
      <c r="J1005" s="47" t="s">
        <v>28</v>
      </c>
      <c r="K1005" s="47" t="s">
        <v>34</v>
      </c>
    </row>
    <row r="1006" customFormat="false" ht="15" hidden="false" customHeight="false" outlineLevel="0" collapsed="false">
      <c r="A1006" s="0" t="s">
        <v>1811</v>
      </c>
      <c r="B1006" s="0" t="s">
        <v>342</v>
      </c>
      <c r="D1006" s="46" t="n">
        <v>45926</v>
      </c>
      <c r="E1006" s="47" t="s">
        <v>58</v>
      </c>
      <c r="F1006" s="48" t="n">
        <v>788.67</v>
      </c>
      <c r="G1006" s="47" t="s">
        <v>53</v>
      </c>
      <c r="H1006" s="47" t="s">
        <v>46</v>
      </c>
      <c r="I1006" s="47" t="s">
        <v>148</v>
      </c>
      <c r="J1006" s="47" t="s">
        <v>28</v>
      </c>
      <c r="K1006" s="47" t="s">
        <v>34</v>
      </c>
    </row>
    <row r="1007" customFormat="false" ht="15" hidden="false" customHeight="false" outlineLevel="0" collapsed="false">
      <c r="A1007" s="0" t="s">
        <v>1812</v>
      </c>
      <c r="B1007" s="0" t="s">
        <v>791</v>
      </c>
      <c r="D1007" s="46" t="n">
        <v>46068</v>
      </c>
      <c r="E1007" s="47" t="s">
        <v>59</v>
      </c>
      <c r="F1007" s="48" t="n">
        <v>15078.89</v>
      </c>
      <c r="G1007" s="47" t="s">
        <v>68</v>
      </c>
      <c r="H1007" s="47" t="s">
        <v>43</v>
      </c>
      <c r="I1007" s="47" t="s">
        <v>102</v>
      </c>
      <c r="J1007" s="47" t="s">
        <v>28</v>
      </c>
      <c r="K1007" s="47" t="s">
        <v>33</v>
      </c>
    </row>
    <row r="1008" customFormat="false" ht="15" hidden="false" customHeight="false" outlineLevel="0" collapsed="false">
      <c r="A1008" s="0" t="s">
        <v>1813</v>
      </c>
      <c r="B1008" s="0" t="s">
        <v>1187</v>
      </c>
      <c r="D1008" s="46" t="n">
        <v>46011</v>
      </c>
      <c r="E1008" s="47" t="s">
        <v>59</v>
      </c>
      <c r="F1008" s="48" t="n">
        <v>112378.45</v>
      </c>
      <c r="G1008" s="47" t="s">
        <v>66</v>
      </c>
      <c r="H1008" s="47" t="s">
        <v>40</v>
      </c>
      <c r="I1008" s="47" t="s">
        <v>253</v>
      </c>
      <c r="J1008" s="47" t="s">
        <v>28</v>
      </c>
      <c r="K1008" s="47" t="s">
        <v>33</v>
      </c>
    </row>
    <row r="1009" customFormat="false" ht="15" hidden="false" customHeight="false" outlineLevel="0" collapsed="false">
      <c r="A1009" s="0" t="s">
        <v>1814</v>
      </c>
      <c r="B1009" s="0" t="s">
        <v>1815</v>
      </c>
      <c r="D1009" s="46" t="n">
        <v>45758</v>
      </c>
      <c r="E1009" s="47" t="s">
        <v>62</v>
      </c>
      <c r="F1009" s="48" t="n">
        <v>13365.92</v>
      </c>
      <c r="G1009" s="47" t="s">
        <v>57</v>
      </c>
      <c r="H1009" s="47" t="s">
        <v>41</v>
      </c>
      <c r="I1009" s="47" t="s">
        <v>293</v>
      </c>
      <c r="J1009" s="47" t="s">
        <v>28</v>
      </c>
      <c r="K1009" s="47" t="s">
        <v>34</v>
      </c>
    </row>
    <row r="1010" customFormat="false" ht="15" hidden="false" customHeight="false" outlineLevel="0" collapsed="false">
      <c r="A1010" s="0" t="s">
        <v>1816</v>
      </c>
      <c r="B1010" s="0" t="s">
        <v>826</v>
      </c>
      <c r="D1010" s="46" t="n">
        <v>45931</v>
      </c>
      <c r="E1010" s="47" t="s">
        <v>58</v>
      </c>
      <c r="F1010" s="48" t="n">
        <v>13809.27</v>
      </c>
      <c r="G1010" s="47" t="s">
        <v>57</v>
      </c>
      <c r="H1010" s="47" t="s">
        <v>42</v>
      </c>
      <c r="I1010" s="47" t="s">
        <v>105</v>
      </c>
      <c r="J1010" s="47" t="s">
        <v>28</v>
      </c>
      <c r="K1010" s="47" t="s">
        <v>33</v>
      </c>
    </row>
    <row r="1011" customFormat="false" ht="15" hidden="false" customHeight="false" outlineLevel="0" collapsed="false">
      <c r="A1011" s="0" t="s">
        <v>1817</v>
      </c>
      <c r="B1011" s="0" t="s">
        <v>1563</v>
      </c>
      <c r="C1011" s="0" t="s">
        <v>1818</v>
      </c>
      <c r="D1011" s="46" t="n">
        <v>46066</v>
      </c>
      <c r="E1011" s="47" t="s">
        <v>55</v>
      </c>
      <c r="F1011" s="48" t="n">
        <v>43133.78</v>
      </c>
      <c r="G1011" s="47" t="s">
        <v>53</v>
      </c>
      <c r="H1011" s="47" t="s">
        <v>46</v>
      </c>
      <c r="I1011" s="47" t="s">
        <v>121</v>
      </c>
      <c r="J1011" s="47" t="s">
        <v>28</v>
      </c>
      <c r="K1011" s="47" t="s">
        <v>34</v>
      </c>
    </row>
    <row r="1012" customFormat="false" ht="15" hidden="false" customHeight="false" outlineLevel="0" collapsed="false">
      <c r="A1012" s="0" t="s">
        <v>1819</v>
      </c>
      <c r="B1012" s="0" t="s">
        <v>950</v>
      </c>
      <c r="D1012" s="46" t="n">
        <v>45967</v>
      </c>
      <c r="E1012" s="47" t="s">
        <v>61</v>
      </c>
      <c r="F1012" s="48" t="n">
        <v>70719.43</v>
      </c>
      <c r="G1012" s="47" t="s">
        <v>68</v>
      </c>
      <c r="H1012" s="47" t="s">
        <v>45</v>
      </c>
      <c r="I1012" s="47" t="s">
        <v>151</v>
      </c>
      <c r="J1012" s="47" t="s">
        <v>28</v>
      </c>
      <c r="K1012" s="47" t="s">
        <v>34</v>
      </c>
    </row>
    <row r="1013" customFormat="false" ht="15" hidden="false" customHeight="false" outlineLevel="0" collapsed="false">
      <c r="A1013" s="0" t="s">
        <v>1820</v>
      </c>
      <c r="B1013" s="0" t="s">
        <v>1821</v>
      </c>
      <c r="C1013" s="0" t="s">
        <v>1822</v>
      </c>
      <c r="D1013" s="46" t="n">
        <v>46170</v>
      </c>
      <c r="E1013" s="47" t="s">
        <v>58</v>
      </c>
      <c r="F1013" s="48" t="n">
        <v>48773.31</v>
      </c>
      <c r="G1013" s="47" t="s">
        <v>68</v>
      </c>
      <c r="H1013" s="47" t="s">
        <v>42</v>
      </c>
      <c r="I1013" s="47" t="s">
        <v>398</v>
      </c>
      <c r="J1013" s="47" t="s">
        <v>28</v>
      </c>
      <c r="K1013" s="47" t="s">
        <v>34</v>
      </c>
    </row>
    <row r="1014" customFormat="false" ht="15" hidden="false" customHeight="false" outlineLevel="0" collapsed="false">
      <c r="A1014" s="0" t="s">
        <v>1823</v>
      </c>
      <c r="B1014" s="0" t="s">
        <v>373</v>
      </c>
      <c r="D1014" s="46" t="n">
        <v>45901</v>
      </c>
      <c r="E1014" s="47" t="s">
        <v>53</v>
      </c>
      <c r="F1014" s="48" t="n">
        <v>54343.6</v>
      </c>
      <c r="G1014" s="47" t="s">
        <v>68</v>
      </c>
      <c r="H1014" s="47" t="s">
        <v>43</v>
      </c>
      <c r="I1014" s="47" t="s">
        <v>102</v>
      </c>
      <c r="J1014" s="47" t="s">
        <v>28</v>
      </c>
      <c r="K1014" s="47" t="s">
        <v>34</v>
      </c>
    </row>
    <row r="1015" customFormat="false" ht="15" hidden="false" customHeight="false" outlineLevel="0" collapsed="false">
      <c r="A1015" s="0" t="s">
        <v>1824</v>
      </c>
      <c r="B1015" s="0" t="s">
        <v>597</v>
      </c>
      <c r="D1015" s="46" t="n">
        <v>46213</v>
      </c>
      <c r="E1015" s="47" t="s">
        <v>61</v>
      </c>
      <c r="F1015" s="48" t="n">
        <v>115686.98</v>
      </c>
      <c r="G1015" s="47" t="s">
        <v>68</v>
      </c>
      <c r="H1015" s="47" t="s">
        <v>39</v>
      </c>
      <c r="I1015" s="47" t="s">
        <v>98</v>
      </c>
      <c r="J1015" s="47" t="s">
        <v>28</v>
      </c>
      <c r="K1015" s="47" t="s">
        <v>33</v>
      </c>
    </row>
    <row r="1016" customFormat="false" ht="15" hidden="false" customHeight="false" outlineLevel="0" collapsed="false">
      <c r="A1016" s="0" t="s">
        <v>1825</v>
      </c>
      <c r="B1016" s="0" t="s">
        <v>1826</v>
      </c>
      <c r="D1016" s="46" t="n">
        <v>46152</v>
      </c>
      <c r="E1016" s="47" t="s">
        <v>55</v>
      </c>
      <c r="F1016" s="48" t="n">
        <v>59188.4</v>
      </c>
      <c r="G1016" s="47" t="s">
        <v>53</v>
      </c>
      <c r="H1016" s="47" t="s">
        <v>43</v>
      </c>
      <c r="I1016" s="47" t="s">
        <v>102</v>
      </c>
      <c r="J1016" s="47" t="s">
        <v>28</v>
      </c>
      <c r="K1016" s="47" t="s">
        <v>33</v>
      </c>
    </row>
    <row r="1017" customFormat="false" ht="15" hidden="false" customHeight="false" outlineLevel="0" collapsed="false">
      <c r="A1017" s="0" t="s">
        <v>1827</v>
      </c>
      <c r="B1017" s="0" t="s">
        <v>1828</v>
      </c>
      <c r="D1017" s="46" t="n">
        <v>45752</v>
      </c>
      <c r="E1017" s="47" t="s">
        <v>60</v>
      </c>
      <c r="F1017" s="48" t="n">
        <v>40826.69</v>
      </c>
      <c r="G1017" s="47" t="s">
        <v>57</v>
      </c>
      <c r="H1017" s="47" t="s">
        <v>43</v>
      </c>
      <c r="I1017" s="47" t="s">
        <v>102</v>
      </c>
      <c r="J1017" s="47" t="s">
        <v>28</v>
      </c>
      <c r="K1017" s="47" t="s">
        <v>33</v>
      </c>
    </row>
    <row r="1018" customFormat="false" ht="15" hidden="false" customHeight="false" outlineLevel="0" collapsed="false">
      <c r="A1018" s="0" t="s">
        <v>1829</v>
      </c>
      <c r="B1018" s="0" t="s">
        <v>718</v>
      </c>
      <c r="D1018" s="46" t="n">
        <v>45781</v>
      </c>
      <c r="E1018" s="47" t="s">
        <v>60</v>
      </c>
      <c r="F1018" s="48" t="n">
        <v>120659.61</v>
      </c>
      <c r="G1018" s="47" t="s">
        <v>68</v>
      </c>
      <c r="H1018" s="47" t="s">
        <v>42</v>
      </c>
      <c r="I1018" s="47" t="s">
        <v>398</v>
      </c>
      <c r="J1018" s="47" t="s">
        <v>28</v>
      </c>
      <c r="K1018" s="47" t="s">
        <v>33</v>
      </c>
    </row>
    <row r="1019" customFormat="false" ht="15" hidden="false" customHeight="false" outlineLevel="0" collapsed="false">
      <c r="A1019" s="0" t="s">
        <v>1830</v>
      </c>
      <c r="B1019" s="0" t="s">
        <v>536</v>
      </c>
      <c r="D1019" s="46" t="n">
        <v>45729</v>
      </c>
      <c r="E1019" s="47" t="s">
        <v>62</v>
      </c>
      <c r="F1019" s="48" t="n">
        <v>125355.15</v>
      </c>
      <c r="G1019" s="47" t="s">
        <v>57</v>
      </c>
      <c r="H1019" s="47" t="s">
        <v>39</v>
      </c>
      <c r="I1019" s="47" t="s">
        <v>177</v>
      </c>
      <c r="J1019" s="47" t="s">
        <v>28</v>
      </c>
      <c r="K1019" s="47" t="s">
        <v>33</v>
      </c>
    </row>
    <row r="1020" customFormat="false" ht="15" hidden="false" customHeight="false" outlineLevel="0" collapsed="false">
      <c r="A1020" s="0" t="s">
        <v>1831</v>
      </c>
      <c r="B1020" s="0" t="s">
        <v>826</v>
      </c>
      <c r="D1020" s="46" t="n">
        <v>45705</v>
      </c>
      <c r="E1020" s="47" t="s">
        <v>61</v>
      </c>
      <c r="F1020" s="48" t="n">
        <v>8587.96</v>
      </c>
      <c r="G1020" s="47" t="s">
        <v>65</v>
      </c>
      <c r="H1020" s="47" t="s">
        <v>42</v>
      </c>
      <c r="I1020" s="47" t="s">
        <v>105</v>
      </c>
      <c r="J1020" s="47" t="s">
        <v>28</v>
      </c>
      <c r="K1020" s="47" t="s">
        <v>33</v>
      </c>
    </row>
    <row r="1021" customFormat="false" ht="15" hidden="false" customHeight="false" outlineLevel="0" collapsed="false">
      <c r="A1021" s="0" t="s">
        <v>1832</v>
      </c>
      <c r="B1021" s="0" t="s">
        <v>1833</v>
      </c>
      <c r="D1021" s="46" t="n">
        <v>45767</v>
      </c>
      <c r="E1021" s="47" t="s">
        <v>53</v>
      </c>
      <c r="F1021" s="48" t="n">
        <v>132171.33</v>
      </c>
      <c r="G1021" s="47" t="s">
        <v>57</v>
      </c>
      <c r="H1021" s="47" t="s">
        <v>42</v>
      </c>
      <c r="I1021" s="47" t="s">
        <v>105</v>
      </c>
      <c r="J1021" s="47" t="s">
        <v>28</v>
      </c>
      <c r="K1021" s="47" t="s">
        <v>34</v>
      </c>
    </row>
    <row r="1022" customFormat="false" ht="15" hidden="false" customHeight="false" outlineLevel="0" collapsed="false">
      <c r="A1022" s="0" t="s">
        <v>1834</v>
      </c>
      <c r="B1022" s="0" t="s">
        <v>1835</v>
      </c>
      <c r="D1022" s="46" t="n">
        <v>46051</v>
      </c>
      <c r="E1022" s="47" t="s">
        <v>61</v>
      </c>
      <c r="F1022" s="48" t="n">
        <v>163007.29</v>
      </c>
      <c r="G1022" s="47" t="s">
        <v>57</v>
      </c>
      <c r="H1022" s="47" t="s">
        <v>48</v>
      </c>
      <c r="I1022" s="47" t="s">
        <v>114</v>
      </c>
      <c r="J1022" s="47" t="s">
        <v>28</v>
      </c>
      <c r="K1022" s="47" t="s">
        <v>34</v>
      </c>
    </row>
    <row r="1023" customFormat="false" ht="15" hidden="false" customHeight="false" outlineLevel="0" collapsed="false">
      <c r="A1023" s="0" t="s">
        <v>1836</v>
      </c>
      <c r="B1023" s="0" t="s">
        <v>582</v>
      </c>
      <c r="D1023" s="46" t="n">
        <v>45798</v>
      </c>
      <c r="E1023" s="47" t="s">
        <v>62</v>
      </c>
      <c r="F1023" s="48" t="n">
        <v>3796.39</v>
      </c>
      <c r="G1023" s="47" t="s">
        <v>68</v>
      </c>
      <c r="H1023" s="47" t="s">
        <v>48</v>
      </c>
      <c r="I1023" s="47" t="s">
        <v>114</v>
      </c>
      <c r="J1023" s="47" t="s">
        <v>29</v>
      </c>
      <c r="K1023" s="47" t="s">
        <v>33</v>
      </c>
    </row>
    <row r="1024" customFormat="false" ht="15" hidden="false" customHeight="false" outlineLevel="0" collapsed="false">
      <c r="A1024" s="0" t="s">
        <v>1837</v>
      </c>
      <c r="B1024" s="0" t="s">
        <v>1548</v>
      </c>
      <c r="D1024" s="46" t="n">
        <v>45789</v>
      </c>
      <c r="E1024" s="47" t="s">
        <v>61</v>
      </c>
      <c r="F1024" s="48" t="n">
        <v>40657.44</v>
      </c>
      <c r="G1024" s="47" t="s">
        <v>66</v>
      </c>
      <c r="H1024" s="47" t="s">
        <v>40</v>
      </c>
      <c r="I1024" s="47" t="s">
        <v>83</v>
      </c>
      <c r="J1024" s="47" t="s">
        <v>28</v>
      </c>
      <c r="K1024" s="47" t="s">
        <v>33</v>
      </c>
    </row>
    <row r="1025" customFormat="false" ht="15" hidden="false" customHeight="false" outlineLevel="0" collapsed="false">
      <c r="A1025" s="0" t="s">
        <v>1838</v>
      </c>
      <c r="B1025" s="0" t="s">
        <v>1168</v>
      </c>
      <c r="D1025" s="46" t="n">
        <v>45831</v>
      </c>
      <c r="E1025" s="47" t="s">
        <v>61</v>
      </c>
      <c r="F1025" s="48" t="n">
        <v>178125.26</v>
      </c>
      <c r="G1025" s="47" t="s">
        <v>68</v>
      </c>
      <c r="H1025" s="47" t="s">
        <v>46</v>
      </c>
      <c r="I1025" s="47" t="s">
        <v>242</v>
      </c>
      <c r="J1025" s="47" t="s">
        <v>28</v>
      </c>
      <c r="K1025" s="47" t="s">
        <v>33</v>
      </c>
    </row>
    <row r="1026" customFormat="false" ht="15" hidden="false" customHeight="false" outlineLevel="0" collapsed="false">
      <c r="A1026" s="0" t="s">
        <v>1839</v>
      </c>
      <c r="B1026" s="0" t="s">
        <v>214</v>
      </c>
      <c r="D1026" s="46" t="n">
        <v>46099</v>
      </c>
      <c r="E1026" s="47" t="s">
        <v>60</v>
      </c>
      <c r="F1026" s="48" t="n">
        <v>70218.92</v>
      </c>
      <c r="G1026" s="47" t="s">
        <v>53</v>
      </c>
      <c r="H1026" s="47" t="s">
        <v>40</v>
      </c>
      <c r="I1026" s="47" t="s">
        <v>89</v>
      </c>
      <c r="J1026" s="47" t="s">
        <v>28</v>
      </c>
      <c r="K1026" s="47" t="s">
        <v>33</v>
      </c>
    </row>
    <row r="1027" customFormat="false" ht="15" hidden="false" customHeight="false" outlineLevel="0" collapsed="false">
      <c r="A1027" s="0" t="s">
        <v>1840</v>
      </c>
      <c r="B1027" s="0" t="s">
        <v>1841</v>
      </c>
      <c r="D1027" s="46" t="n">
        <v>45769</v>
      </c>
      <c r="E1027" s="47" t="s">
        <v>58</v>
      </c>
      <c r="F1027" s="48" t="n">
        <v>181683.93</v>
      </c>
      <c r="G1027" s="47" t="s">
        <v>68</v>
      </c>
      <c r="H1027" s="47" t="s">
        <v>46</v>
      </c>
      <c r="I1027" s="47" t="s">
        <v>242</v>
      </c>
      <c r="J1027" s="47" t="s">
        <v>28</v>
      </c>
      <c r="K1027" s="47" t="s">
        <v>33</v>
      </c>
    </row>
    <row r="1028" customFormat="false" ht="15" hidden="false" customHeight="false" outlineLevel="0" collapsed="false">
      <c r="A1028" s="0" t="s">
        <v>1842</v>
      </c>
      <c r="B1028" s="0" t="s">
        <v>1411</v>
      </c>
      <c r="C1028" s="0" t="s">
        <v>1843</v>
      </c>
      <c r="D1028" s="46" t="n">
        <v>46016</v>
      </c>
      <c r="E1028" s="47" t="s">
        <v>61</v>
      </c>
      <c r="F1028" s="48" t="n">
        <v>70294.28</v>
      </c>
      <c r="G1028" s="47" t="s">
        <v>68</v>
      </c>
      <c r="H1028" s="47" t="s">
        <v>43</v>
      </c>
      <c r="I1028" s="47" t="s">
        <v>102</v>
      </c>
      <c r="J1028" s="47" t="s">
        <v>28</v>
      </c>
      <c r="K1028" s="47" t="s">
        <v>34</v>
      </c>
    </row>
    <row r="1029" customFormat="false" ht="15" hidden="false" customHeight="false" outlineLevel="0" collapsed="false">
      <c r="A1029" s="0" t="s">
        <v>1844</v>
      </c>
      <c r="B1029" s="0" t="s">
        <v>1213</v>
      </c>
      <c r="D1029" s="46" t="n">
        <v>45889</v>
      </c>
      <c r="E1029" s="47" t="s">
        <v>62</v>
      </c>
      <c r="F1029" s="48" t="n">
        <v>169998.35</v>
      </c>
      <c r="G1029" s="47" t="s">
        <v>53</v>
      </c>
      <c r="H1029" s="47" t="s">
        <v>39</v>
      </c>
      <c r="I1029" s="47" t="s">
        <v>145</v>
      </c>
      <c r="J1029" s="47" t="s">
        <v>28</v>
      </c>
      <c r="K1029" s="47" t="s">
        <v>34</v>
      </c>
    </row>
    <row r="1030" customFormat="false" ht="15" hidden="false" customHeight="false" outlineLevel="0" collapsed="false">
      <c r="A1030" s="0" t="s">
        <v>1845</v>
      </c>
      <c r="B1030" s="0" t="s">
        <v>1846</v>
      </c>
      <c r="D1030" s="46" t="n">
        <v>46144</v>
      </c>
      <c r="E1030" s="47" t="s">
        <v>60</v>
      </c>
      <c r="F1030" s="48" t="n">
        <v>41203.86</v>
      </c>
      <c r="G1030" s="47" t="s">
        <v>57</v>
      </c>
      <c r="H1030" s="47" t="s">
        <v>43</v>
      </c>
      <c r="I1030" s="47" t="s">
        <v>102</v>
      </c>
      <c r="J1030" s="47" t="s">
        <v>28</v>
      </c>
      <c r="K1030" s="47" t="s">
        <v>34</v>
      </c>
    </row>
    <row r="1031" customFormat="false" ht="15" hidden="false" customHeight="false" outlineLevel="0" collapsed="false">
      <c r="A1031" s="0" t="s">
        <v>1847</v>
      </c>
      <c r="B1031" s="0" t="s">
        <v>494</v>
      </c>
      <c r="D1031" s="46" t="n">
        <v>45899</v>
      </c>
      <c r="E1031" s="47" t="s">
        <v>53</v>
      </c>
      <c r="F1031" s="48" t="n">
        <v>151748.75</v>
      </c>
      <c r="G1031" s="47" t="s">
        <v>66</v>
      </c>
      <c r="H1031" s="47" t="s">
        <v>39</v>
      </c>
      <c r="I1031" s="47" t="s">
        <v>145</v>
      </c>
      <c r="J1031" s="47" t="s">
        <v>28</v>
      </c>
      <c r="K1031" s="47" t="s">
        <v>33</v>
      </c>
    </row>
    <row r="1032" customFormat="false" ht="15" hidden="false" customHeight="false" outlineLevel="0" collapsed="false">
      <c r="A1032" s="0" t="s">
        <v>1848</v>
      </c>
      <c r="B1032" s="0" t="s">
        <v>969</v>
      </c>
      <c r="D1032" s="46" t="n">
        <v>45705</v>
      </c>
      <c r="E1032" s="47" t="s">
        <v>60</v>
      </c>
      <c r="F1032" s="48" t="n">
        <v>150311.27</v>
      </c>
      <c r="G1032" s="47" t="s">
        <v>53</v>
      </c>
      <c r="H1032" s="47" t="s">
        <v>46</v>
      </c>
      <c r="I1032" s="47" t="s">
        <v>148</v>
      </c>
      <c r="J1032" s="47" t="s">
        <v>28</v>
      </c>
      <c r="K1032" s="47" t="s">
        <v>34</v>
      </c>
    </row>
    <row r="1033" customFormat="false" ht="15" hidden="false" customHeight="false" outlineLevel="0" collapsed="false">
      <c r="A1033" s="0" t="s">
        <v>1849</v>
      </c>
      <c r="B1033" s="0" t="s">
        <v>356</v>
      </c>
      <c r="D1033" s="46" t="n">
        <v>46007</v>
      </c>
      <c r="E1033" s="47" t="s">
        <v>53</v>
      </c>
      <c r="F1033" s="48" t="n">
        <v>124394.79</v>
      </c>
      <c r="G1033" s="47" t="s">
        <v>53</v>
      </c>
      <c r="H1033" s="47" t="s">
        <v>48</v>
      </c>
      <c r="I1033" s="47" t="s">
        <v>212</v>
      </c>
      <c r="J1033" s="47" t="s">
        <v>28</v>
      </c>
      <c r="K1033" s="47" t="s">
        <v>34</v>
      </c>
    </row>
    <row r="1034" customFormat="false" ht="15" hidden="false" customHeight="false" outlineLevel="0" collapsed="false">
      <c r="A1034" s="0" t="s">
        <v>1850</v>
      </c>
      <c r="B1034" s="0" t="s">
        <v>1129</v>
      </c>
      <c r="D1034" s="46" t="n">
        <v>45830</v>
      </c>
      <c r="E1034" s="47" t="s">
        <v>58</v>
      </c>
      <c r="F1034" s="48" t="n">
        <v>163802.16</v>
      </c>
      <c r="G1034" s="47" t="s">
        <v>53</v>
      </c>
      <c r="H1034" s="47" t="s">
        <v>45</v>
      </c>
      <c r="I1034" s="47" t="s">
        <v>217</v>
      </c>
      <c r="J1034" s="47" t="s">
        <v>28</v>
      </c>
      <c r="K1034" s="47" t="s">
        <v>33</v>
      </c>
    </row>
    <row r="1035" customFormat="false" ht="15" hidden="false" customHeight="false" outlineLevel="0" collapsed="false">
      <c r="A1035" s="0" t="s">
        <v>1851</v>
      </c>
      <c r="B1035" s="0" t="s">
        <v>1614</v>
      </c>
      <c r="D1035" s="46" t="n">
        <v>45776</v>
      </c>
      <c r="E1035" s="47" t="s">
        <v>60</v>
      </c>
      <c r="F1035" s="48" t="n">
        <v>123843.67</v>
      </c>
      <c r="G1035" s="47" t="s">
        <v>66</v>
      </c>
      <c r="H1035" s="47" t="s">
        <v>45</v>
      </c>
      <c r="I1035" s="47" t="s">
        <v>151</v>
      </c>
      <c r="J1035" s="47" t="s">
        <v>28</v>
      </c>
      <c r="K1035" s="47" t="s">
        <v>34</v>
      </c>
    </row>
    <row r="1036" customFormat="false" ht="15" hidden="false" customHeight="false" outlineLevel="0" collapsed="false">
      <c r="A1036" s="0" t="s">
        <v>1852</v>
      </c>
      <c r="B1036" s="0" t="s">
        <v>577</v>
      </c>
      <c r="D1036" s="46" t="n">
        <v>45856</v>
      </c>
      <c r="E1036" s="47" t="s">
        <v>58</v>
      </c>
      <c r="F1036" s="48" t="n">
        <v>69152.87</v>
      </c>
      <c r="G1036" s="47" t="s">
        <v>68</v>
      </c>
      <c r="H1036" s="47" t="s">
        <v>40</v>
      </c>
      <c r="I1036" s="47" t="s">
        <v>253</v>
      </c>
      <c r="J1036" s="47" t="s">
        <v>29</v>
      </c>
      <c r="K1036" s="47" t="s">
        <v>33</v>
      </c>
    </row>
    <row r="1037" customFormat="false" ht="15" hidden="false" customHeight="false" outlineLevel="0" collapsed="false">
      <c r="A1037" s="0" t="s">
        <v>1853</v>
      </c>
      <c r="B1037" s="0" t="s">
        <v>1527</v>
      </c>
      <c r="D1037" s="46" t="n">
        <v>46185</v>
      </c>
      <c r="E1037" s="47" t="s">
        <v>58</v>
      </c>
      <c r="F1037" s="48" t="n">
        <v>80055.38</v>
      </c>
      <c r="G1037" s="47" t="s">
        <v>65</v>
      </c>
      <c r="H1037" s="47" t="s">
        <v>41</v>
      </c>
      <c r="I1037" s="47" t="s">
        <v>272</v>
      </c>
      <c r="J1037" s="47" t="s">
        <v>28</v>
      </c>
      <c r="K1037" s="47" t="s">
        <v>34</v>
      </c>
    </row>
    <row r="1038" customFormat="false" ht="15" hidden="false" customHeight="false" outlineLevel="0" collapsed="false">
      <c r="A1038" s="0" t="s">
        <v>1854</v>
      </c>
      <c r="B1038" s="0" t="s">
        <v>408</v>
      </c>
      <c r="D1038" s="46" t="n">
        <v>46175</v>
      </c>
      <c r="E1038" s="47" t="s">
        <v>62</v>
      </c>
      <c r="F1038" s="48" t="n">
        <v>170780.48</v>
      </c>
      <c r="G1038" s="47" t="s">
        <v>57</v>
      </c>
      <c r="H1038" s="47" t="s">
        <v>43</v>
      </c>
      <c r="I1038" s="47" t="s">
        <v>102</v>
      </c>
      <c r="J1038" s="47" t="s">
        <v>28</v>
      </c>
      <c r="K1038" s="47" t="s">
        <v>34</v>
      </c>
    </row>
    <row r="1039" customFormat="false" ht="15" hidden="false" customHeight="false" outlineLevel="0" collapsed="false">
      <c r="A1039" s="0" t="s">
        <v>1855</v>
      </c>
      <c r="B1039" s="0" t="s">
        <v>209</v>
      </c>
      <c r="D1039" s="46" t="n">
        <v>46087</v>
      </c>
      <c r="E1039" s="47" t="s">
        <v>58</v>
      </c>
      <c r="F1039" s="48" t="n">
        <v>103652.67</v>
      </c>
      <c r="G1039" s="47" t="s">
        <v>65</v>
      </c>
      <c r="H1039" s="47" t="s">
        <v>40</v>
      </c>
      <c r="I1039" s="47" t="s">
        <v>89</v>
      </c>
      <c r="J1039" s="47" t="s">
        <v>28</v>
      </c>
      <c r="K1039" s="47" t="s">
        <v>33</v>
      </c>
    </row>
    <row r="1040" customFormat="false" ht="15" hidden="false" customHeight="false" outlineLevel="0" collapsed="false">
      <c r="A1040" s="0" t="s">
        <v>1856</v>
      </c>
      <c r="B1040" s="0" t="s">
        <v>1106</v>
      </c>
      <c r="D1040" s="46" t="n">
        <v>45694</v>
      </c>
      <c r="E1040" s="47" t="s">
        <v>55</v>
      </c>
      <c r="F1040" s="48" t="n">
        <v>154294.32</v>
      </c>
      <c r="G1040" s="47" t="s">
        <v>65</v>
      </c>
      <c r="H1040" s="47" t="s">
        <v>43</v>
      </c>
      <c r="I1040" s="47" t="s">
        <v>117</v>
      </c>
      <c r="J1040" s="47" t="s">
        <v>28</v>
      </c>
      <c r="K1040" s="47" t="s">
        <v>33</v>
      </c>
    </row>
    <row r="1041" customFormat="false" ht="15" hidden="false" customHeight="false" outlineLevel="0" collapsed="false">
      <c r="A1041" s="0" t="s">
        <v>1857</v>
      </c>
      <c r="B1041" s="0" t="s">
        <v>119</v>
      </c>
      <c r="D1041" s="46" t="n">
        <v>45960</v>
      </c>
      <c r="E1041" s="47" t="s">
        <v>53</v>
      </c>
      <c r="F1041" s="48" t="n">
        <v>34690.32</v>
      </c>
      <c r="G1041" s="47" t="s">
        <v>68</v>
      </c>
      <c r="H1041" s="47" t="s">
        <v>46</v>
      </c>
      <c r="I1041" s="47" t="s">
        <v>121</v>
      </c>
      <c r="J1041" s="47" t="s">
        <v>28</v>
      </c>
      <c r="K1041" s="47" t="s">
        <v>33</v>
      </c>
    </row>
    <row r="1042" customFormat="false" ht="15" hidden="false" customHeight="false" outlineLevel="0" collapsed="false">
      <c r="A1042" s="0" t="s">
        <v>1858</v>
      </c>
      <c r="B1042" s="0" t="s">
        <v>1256</v>
      </c>
      <c r="D1042" s="46" t="n">
        <v>46212</v>
      </c>
      <c r="E1042" s="47" t="s">
        <v>53</v>
      </c>
      <c r="F1042" s="48" t="n">
        <v>169193.45</v>
      </c>
      <c r="G1042" s="47" t="s">
        <v>65</v>
      </c>
      <c r="H1042" s="47" t="s">
        <v>48</v>
      </c>
      <c r="I1042" s="47" t="s">
        <v>111</v>
      </c>
      <c r="J1042" s="47" t="s">
        <v>28</v>
      </c>
      <c r="K1042" s="47" t="s">
        <v>34</v>
      </c>
    </row>
    <row r="1043" customFormat="false" ht="15" hidden="false" customHeight="false" outlineLevel="0" collapsed="false">
      <c r="A1043" s="0" t="s">
        <v>1859</v>
      </c>
      <c r="B1043" s="0" t="s">
        <v>110</v>
      </c>
      <c r="D1043" s="46" t="n">
        <v>45840</v>
      </c>
      <c r="E1043" s="47" t="s">
        <v>59</v>
      </c>
      <c r="F1043" s="48" t="n">
        <v>170920.43</v>
      </c>
      <c r="G1043" s="47" t="s">
        <v>66</v>
      </c>
      <c r="H1043" s="47" t="s">
        <v>48</v>
      </c>
      <c r="I1043" s="47" t="s">
        <v>111</v>
      </c>
      <c r="J1043" s="47" t="s">
        <v>28</v>
      </c>
      <c r="K1043" s="47" t="s">
        <v>34</v>
      </c>
    </row>
    <row r="1044" customFormat="false" ht="15" hidden="false" customHeight="false" outlineLevel="0" collapsed="false">
      <c r="A1044" s="0" t="s">
        <v>1860</v>
      </c>
      <c r="B1044" s="0" t="s">
        <v>1861</v>
      </c>
      <c r="D1044" s="46" t="n">
        <v>45854</v>
      </c>
      <c r="E1044" s="47" t="s">
        <v>61</v>
      </c>
      <c r="F1044" s="48" t="n">
        <v>33015.22</v>
      </c>
      <c r="G1044" s="47" t="s">
        <v>65</v>
      </c>
      <c r="H1044" s="47" t="s">
        <v>42</v>
      </c>
      <c r="I1044" s="47" t="s">
        <v>105</v>
      </c>
      <c r="J1044" s="47" t="s">
        <v>28</v>
      </c>
      <c r="K1044" s="47" t="s">
        <v>33</v>
      </c>
    </row>
    <row r="1045" customFormat="false" ht="15" hidden="false" customHeight="false" outlineLevel="0" collapsed="false">
      <c r="A1045" s="0" t="s">
        <v>1862</v>
      </c>
      <c r="B1045" s="0" t="s">
        <v>1392</v>
      </c>
      <c r="D1045" s="46" t="n">
        <v>46265</v>
      </c>
      <c r="E1045" s="47" t="s">
        <v>61</v>
      </c>
      <c r="F1045" s="48" t="n">
        <v>144717.64</v>
      </c>
      <c r="G1045" s="47" t="s">
        <v>57</v>
      </c>
      <c r="H1045" s="47" t="s">
        <v>47</v>
      </c>
      <c r="I1045" s="47" t="s">
        <v>166</v>
      </c>
      <c r="J1045" s="47" t="s">
        <v>28</v>
      </c>
      <c r="K1045" s="47" t="s">
        <v>34</v>
      </c>
    </row>
    <row r="1046" customFormat="false" ht="15" hidden="false" customHeight="false" outlineLevel="0" collapsed="false">
      <c r="A1046" s="0" t="s">
        <v>1863</v>
      </c>
      <c r="B1046" s="0" t="s">
        <v>1399</v>
      </c>
      <c r="D1046" s="46" t="n">
        <v>46228</v>
      </c>
      <c r="E1046" s="47" t="s">
        <v>59</v>
      </c>
      <c r="F1046" s="48" t="n">
        <v>91815.76</v>
      </c>
      <c r="G1046" s="47" t="s">
        <v>53</v>
      </c>
      <c r="H1046" s="47" t="s">
        <v>45</v>
      </c>
      <c r="I1046" s="47" t="s">
        <v>217</v>
      </c>
      <c r="J1046" s="47" t="s">
        <v>28</v>
      </c>
      <c r="K1046" s="47" t="s">
        <v>34</v>
      </c>
    </row>
    <row r="1047" customFormat="false" ht="15" hidden="false" customHeight="false" outlineLevel="0" collapsed="false">
      <c r="A1047" s="0" t="s">
        <v>1864</v>
      </c>
      <c r="B1047" s="0" t="s">
        <v>1180</v>
      </c>
      <c r="D1047" s="46" t="n">
        <v>46240</v>
      </c>
      <c r="E1047" s="47" t="s">
        <v>55</v>
      </c>
      <c r="F1047" s="48" t="n">
        <v>53039.63</v>
      </c>
      <c r="G1047" s="47" t="s">
        <v>65</v>
      </c>
      <c r="H1047" s="47" t="s">
        <v>44</v>
      </c>
      <c r="I1047" s="47" t="s">
        <v>226</v>
      </c>
      <c r="J1047" s="47" t="s">
        <v>28</v>
      </c>
      <c r="K1047" s="47" t="s">
        <v>33</v>
      </c>
    </row>
    <row r="1048" customFormat="false" ht="15" hidden="false" customHeight="false" outlineLevel="0" collapsed="false">
      <c r="A1048" s="0" t="s">
        <v>1865</v>
      </c>
      <c r="B1048" s="0" t="s">
        <v>1264</v>
      </c>
      <c r="D1048" s="46" t="n">
        <v>45960</v>
      </c>
      <c r="E1048" s="47" t="s">
        <v>61</v>
      </c>
      <c r="F1048" s="48" t="n">
        <v>144538.82</v>
      </c>
      <c r="G1048" s="47" t="s">
        <v>66</v>
      </c>
      <c r="H1048" s="47" t="s">
        <v>43</v>
      </c>
      <c r="I1048" s="47" t="s">
        <v>117</v>
      </c>
      <c r="J1048" s="47" t="s">
        <v>28</v>
      </c>
      <c r="K1048" s="47" t="s">
        <v>33</v>
      </c>
    </row>
    <row r="1049" customFormat="false" ht="15" hidden="false" customHeight="false" outlineLevel="0" collapsed="false">
      <c r="A1049" s="0" t="s">
        <v>1866</v>
      </c>
      <c r="B1049" s="0" t="s">
        <v>205</v>
      </c>
      <c r="D1049" s="46" t="n">
        <v>45741</v>
      </c>
      <c r="E1049" s="47" t="s">
        <v>59</v>
      </c>
      <c r="F1049" s="48" t="n">
        <v>99118.43</v>
      </c>
      <c r="G1049" s="47" t="s">
        <v>68</v>
      </c>
      <c r="H1049" s="47" t="s">
        <v>40</v>
      </c>
      <c r="I1049" s="47" t="s">
        <v>89</v>
      </c>
      <c r="J1049" s="47" t="s">
        <v>28</v>
      </c>
      <c r="K1049" s="47" t="s">
        <v>33</v>
      </c>
    </row>
    <row r="1050" customFormat="false" ht="15" hidden="false" customHeight="false" outlineLevel="0" collapsed="false">
      <c r="A1050" s="0" t="s">
        <v>1867</v>
      </c>
      <c r="B1050" s="0" t="s">
        <v>1868</v>
      </c>
      <c r="D1050" s="46" t="n">
        <v>45760</v>
      </c>
      <c r="E1050" s="47" t="s">
        <v>62</v>
      </c>
      <c r="F1050" s="48" t="n">
        <v>173484.87</v>
      </c>
      <c r="G1050" s="47" t="s">
        <v>66</v>
      </c>
      <c r="H1050" s="47" t="s">
        <v>41</v>
      </c>
      <c r="I1050" s="47" t="s">
        <v>272</v>
      </c>
      <c r="J1050" s="47" t="s">
        <v>28</v>
      </c>
      <c r="K1050" s="47" t="s">
        <v>33</v>
      </c>
    </row>
    <row r="1051" customFormat="false" ht="15" hidden="false" customHeight="false" outlineLevel="0" collapsed="false">
      <c r="A1051" s="0" t="s">
        <v>1869</v>
      </c>
      <c r="B1051" s="0" t="s">
        <v>1293</v>
      </c>
      <c r="D1051" s="46" t="n">
        <v>45762</v>
      </c>
      <c r="E1051" s="47" t="s">
        <v>55</v>
      </c>
      <c r="F1051" s="48" t="n">
        <v>25772.19</v>
      </c>
      <c r="G1051" s="47" t="s">
        <v>65</v>
      </c>
      <c r="H1051" s="47" t="s">
        <v>43</v>
      </c>
      <c r="I1051" s="47" t="s">
        <v>102</v>
      </c>
      <c r="J1051" s="47" t="s">
        <v>28</v>
      </c>
      <c r="K1051" s="47" t="s">
        <v>34</v>
      </c>
    </row>
    <row r="1052" customFormat="false" ht="15" hidden="false" customHeight="false" outlineLevel="0" collapsed="false">
      <c r="A1052" s="0" t="s">
        <v>1870</v>
      </c>
      <c r="B1052" s="0" t="s">
        <v>1389</v>
      </c>
      <c r="D1052" s="46" t="n">
        <v>46105</v>
      </c>
      <c r="E1052" s="47" t="s">
        <v>62</v>
      </c>
      <c r="F1052" s="48" t="n">
        <v>18858.04</v>
      </c>
      <c r="G1052" s="47" t="s">
        <v>68</v>
      </c>
      <c r="H1052" s="47" t="s">
        <v>44</v>
      </c>
      <c r="I1052" s="47" t="s">
        <v>132</v>
      </c>
      <c r="J1052" s="47" t="s">
        <v>28</v>
      </c>
      <c r="K1052" s="47" t="s">
        <v>34</v>
      </c>
    </row>
    <row r="1053" customFormat="false" ht="15" hidden="false" customHeight="false" outlineLevel="0" collapsed="false">
      <c r="A1053" s="0" t="s">
        <v>1871</v>
      </c>
      <c r="B1053" s="0" t="s">
        <v>709</v>
      </c>
      <c r="D1053" s="46" t="n">
        <v>45995</v>
      </c>
      <c r="E1053" s="47" t="s">
        <v>61</v>
      </c>
      <c r="F1053" s="48" t="n">
        <v>93255.43</v>
      </c>
      <c r="G1053" s="47" t="s">
        <v>66</v>
      </c>
      <c r="H1053" s="47" t="s">
        <v>39</v>
      </c>
      <c r="I1053" s="47" t="s">
        <v>145</v>
      </c>
      <c r="J1053" s="47" t="s">
        <v>28</v>
      </c>
      <c r="K1053" s="47" t="s">
        <v>33</v>
      </c>
    </row>
    <row r="1054" customFormat="false" ht="15" hidden="false" customHeight="false" outlineLevel="0" collapsed="false">
      <c r="A1054" s="0" t="s">
        <v>1872</v>
      </c>
      <c r="B1054" s="0" t="s">
        <v>1873</v>
      </c>
      <c r="D1054" s="46" t="n">
        <v>45865</v>
      </c>
      <c r="E1054" s="47" t="s">
        <v>59</v>
      </c>
      <c r="F1054" s="48" t="n">
        <v>63801.48</v>
      </c>
      <c r="G1054" s="47" t="s">
        <v>65</v>
      </c>
      <c r="H1054" s="47" t="s">
        <v>41</v>
      </c>
      <c r="I1054" s="47" t="s">
        <v>293</v>
      </c>
      <c r="J1054" s="47" t="s">
        <v>28</v>
      </c>
      <c r="K1054" s="47" t="s">
        <v>33</v>
      </c>
    </row>
    <row r="1055" customFormat="false" ht="15" hidden="false" customHeight="false" outlineLevel="0" collapsed="false">
      <c r="A1055" s="0" t="s">
        <v>1874</v>
      </c>
      <c r="B1055" s="0" t="s">
        <v>1201</v>
      </c>
      <c r="D1055" s="46" t="n">
        <v>45852</v>
      </c>
      <c r="E1055" s="47" t="s">
        <v>60</v>
      </c>
      <c r="F1055" s="48" t="n">
        <v>122616.06</v>
      </c>
      <c r="G1055" s="47" t="s">
        <v>53</v>
      </c>
      <c r="H1055" s="47" t="s">
        <v>42</v>
      </c>
      <c r="I1055" s="47" t="s">
        <v>137</v>
      </c>
      <c r="J1055" s="47" t="s">
        <v>29</v>
      </c>
      <c r="K1055" s="47" t="s">
        <v>34</v>
      </c>
    </row>
    <row r="1056" customFormat="false" ht="15" hidden="false" customHeight="false" outlineLevel="0" collapsed="false">
      <c r="A1056" s="0" t="s">
        <v>1875</v>
      </c>
      <c r="B1056" s="0" t="s">
        <v>337</v>
      </c>
      <c r="D1056" s="46" t="n">
        <v>46257</v>
      </c>
      <c r="E1056" s="47" t="s">
        <v>59</v>
      </c>
      <c r="F1056" s="48" t="n">
        <v>36525.42</v>
      </c>
      <c r="G1056" s="47" t="s">
        <v>68</v>
      </c>
      <c r="H1056" s="47" t="s">
        <v>39</v>
      </c>
      <c r="I1056" s="47" t="s">
        <v>145</v>
      </c>
      <c r="J1056" s="47" t="s">
        <v>28</v>
      </c>
      <c r="K1056" s="47" t="s">
        <v>34</v>
      </c>
    </row>
    <row r="1057" customFormat="false" ht="15" hidden="false" customHeight="false" outlineLevel="0" collapsed="false">
      <c r="A1057" s="0" t="s">
        <v>1876</v>
      </c>
      <c r="B1057" s="0" t="s">
        <v>225</v>
      </c>
      <c r="D1057" s="46" t="n">
        <v>45890</v>
      </c>
      <c r="E1057" s="47" t="s">
        <v>62</v>
      </c>
      <c r="F1057" s="48" t="n">
        <v>92902.1</v>
      </c>
      <c r="G1057" s="47" t="s">
        <v>65</v>
      </c>
      <c r="H1057" s="47" t="s">
        <v>44</v>
      </c>
      <c r="I1057" s="47" t="s">
        <v>226</v>
      </c>
      <c r="J1057" s="47" t="s">
        <v>28</v>
      </c>
      <c r="K1057" s="47" t="s">
        <v>34</v>
      </c>
    </row>
    <row r="1058" customFormat="false" ht="15" hidden="false" customHeight="false" outlineLevel="0" collapsed="false">
      <c r="A1058" s="0" t="s">
        <v>1877</v>
      </c>
      <c r="B1058" s="0" t="s">
        <v>921</v>
      </c>
      <c r="D1058" s="46" t="n">
        <v>45869</v>
      </c>
      <c r="E1058" s="47" t="s">
        <v>59</v>
      </c>
      <c r="F1058" s="48" t="n">
        <v>29759.16</v>
      </c>
      <c r="G1058" s="47" t="s">
        <v>65</v>
      </c>
      <c r="H1058" s="47" t="s">
        <v>47</v>
      </c>
      <c r="I1058" s="47" t="s">
        <v>108</v>
      </c>
      <c r="J1058" s="47" t="s">
        <v>28</v>
      </c>
      <c r="K1058" s="47" t="s">
        <v>34</v>
      </c>
    </row>
    <row r="1059" customFormat="false" ht="15" hidden="false" customHeight="false" outlineLevel="0" collapsed="false">
      <c r="A1059" s="0" t="s">
        <v>1878</v>
      </c>
      <c r="B1059" s="0" t="s">
        <v>366</v>
      </c>
      <c r="D1059" s="46" t="n">
        <v>45785</v>
      </c>
      <c r="E1059" s="47" t="s">
        <v>55</v>
      </c>
      <c r="F1059" s="48" t="n">
        <v>153839.62</v>
      </c>
      <c r="G1059" s="47" t="s">
        <v>66</v>
      </c>
      <c r="H1059" s="47" t="s">
        <v>48</v>
      </c>
      <c r="I1059" s="47" t="s">
        <v>114</v>
      </c>
      <c r="J1059" s="47" t="s">
        <v>28</v>
      </c>
      <c r="K1059" s="47" t="s">
        <v>33</v>
      </c>
    </row>
    <row r="1060" customFormat="false" ht="15" hidden="false" customHeight="false" outlineLevel="0" collapsed="false">
      <c r="A1060" s="0" t="s">
        <v>1879</v>
      </c>
      <c r="B1060" s="0" t="s">
        <v>1880</v>
      </c>
      <c r="D1060" s="46" t="n">
        <v>45708</v>
      </c>
      <c r="E1060" s="47" t="s">
        <v>55</v>
      </c>
      <c r="F1060" s="48" t="n">
        <v>34913.62</v>
      </c>
      <c r="G1060" s="47" t="s">
        <v>68</v>
      </c>
      <c r="H1060" s="47" t="s">
        <v>43</v>
      </c>
      <c r="I1060" s="47" t="s">
        <v>102</v>
      </c>
      <c r="J1060" s="47" t="s">
        <v>28</v>
      </c>
      <c r="K1060" s="47" t="s">
        <v>33</v>
      </c>
    </row>
    <row r="1061" customFormat="false" ht="15" hidden="false" customHeight="false" outlineLevel="0" collapsed="false">
      <c r="A1061" s="0" t="s">
        <v>1881</v>
      </c>
      <c r="B1061" s="0" t="s">
        <v>1785</v>
      </c>
      <c r="D1061" s="46" t="n">
        <v>46002</v>
      </c>
      <c r="E1061" s="47" t="s">
        <v>53</v>
      </c>
      <c r="F1061" s="48" t="n">
        <v>8027.27</v>
      </c>
      <c r="G1061" s="47" t="s">
        <v>68</v>
      </c>
      <c r="H1061" s="47" t="s">
        <v>43</v>
      </c>
      <c r="I1061" s="47" t="s">
        <v>201</v>
      </c>
      <c r="J1061" s="47" t="s">
        <v>28</v>
      </c>
      <c r="K1061" s="47" t="s">
        <v>33</v>
      </c>
    </row>
    <row r="1062" customFormat="false" ht="15" hidden="false" customHeight="false" outlineLevel="0" collapsed="false">
      <c r="A1062" s="0" t="s">
        <v>1882</v>
      </c>
      <c r="B1062" s="0" t="s">
        <v>1190</v>
      </c>
      <c r="D1062" s="46" t="n">
        <v>45935</v>
      </c>
      <c r="E1062" s="47" t="s">
        <v>61</v>
      </c>
      <c r="F1062" s="48" t="n">
        <v>146703.74</v>
      </c>
      <c r="G1062" s="47" t="s">
        <v>66</v>
      </c>
      <c r="H1062" s="47" t="s">
        <v>45</v>
      </c>
      <c r="I1062" s="47" t="s">
        <v>95</v>
      </c>
      <c r="J1062" s="47" t="s">
        <v>28</v>
      </c>
      <c r="K1062" s="47" t="s">
        <v>34</v>
      </c>
    </row>
    <row r="1063" customFormat="false" ht="15" hidden="false" customHeight="false" outlineLevel="0" collapsed="false">
      <c r="A1063" s="0" t="s">
        <v>1883</v>
      </c>
      <c r="B1063" s="0" t="s">
        <v>1062</v>
      </c>
      <c r="D1063" s="46" t="n">
        <v>46014</v>
      </c>
      <c r="E1063" s="47" t="s">
        <v>61</v>
      </c>
      <c r="F1063" s="48" t="n">
        <v>191782.53</v>
      </c>
      <c r="G1063" s="47" t="s">
        <v>68</v>
      </c>
      <c r="H1063" s="47" t="s">
        <v>41</v>
      </c>
      <c r="I1063" s="47" t="s">
        <v>86</v>
      </c>
      <c r="J1063" s="47" t="s">
        <v>28</v>
      </c>
      <c r="K1063" s="47" t="s">
        <v>33</v>
      </c>
    </row>
    <row r="1064" customFormat="false" ht="15" hidden="false" customHeight="false" outlineLevel="0" collapsed="false">
      <c r="A1064" s="0" t="s">
        <v>1884</v>
      </c>
      <c r="B1064" s="0" t="s">
        <v>1030</v>
      </c>
      <c r="D1064" s="46" t="n">
        <v>45917</v>
      </c>
      <c r="E1064" s="47" t="s">
        <v>53</v>
      </c>
      <c r="F1064" s="48" t="n">
        <v>137243.32</v>
      </c>
      <c r="G1064" s="47" t="s">
        <v>66</v>
      </c>
      <c r="H1064" s="47" t="s">
        <v>39</v>
      </c>
      <c r="I1064" s="47" t="s">
        <v>98</v>
      </c>
      <c r="J1064" s="47" t="s">
        <v>28</v>
      </c>
      <c r="K1064" s="47" t="s">
        <v>34</v>
      </c>
    </row>
    <row r="1065" customFormat="false" ht="15" hidden="false" customHeight="false" outlineLevel="0" collapsed="false">
      <c r="A1065" s="0" t="s">
        <v>1885</v>
      </c>
      <c r="B1065" s="0" t="s">
        <v>257</v>
      </c>
      <c r="D1065" s="46" t="n">
        <v>46130</v>
      </c>
      <c r="E1065" s="47" t="s">
        <v>53</v>
      </c>
      <c r="F1065" s="48" t="n">
        <v>26346.67</v>
      </c>
      <c r="G1065" s="47" t="s">
        <v>57</v>
      </c>
      <c r="H1065" s="47" t="s">
        <v>45</v>
      </c>
      <c r="I1065" s="47" t="s">
        <v>151</v>
      </c>
      <c r="J1065" s="47" t="s">
        <v>28</v>
      </c>
      <c r="K1065" s="47" t="s">
        <v>33</v>
      </c>
    </row>
    <row r="1066" customFormat="false" ht="15" hidden="false" customHeight="false" outlineLevel="0" collapsed="false">
      <c r="A1066" s="0" t="s">
        <v>1886</v>
      </c>
      <c r="B1066" s="0" t="s">
        <v>1207</v>
      </c>
      <c r="D1066" s="46" t="n">
        <v>45881</v>
      </c>
      <c r="E1066" s="47" t="s">
        <v>61</v>
      </c>
      <c r="F1066" s="48" t="n">
        <v>193062.59</v>
      </c>
      <c r="G1066" s="47" t="s">
        <v>57</v>
      </c>
      <c r="H1066" s="47" t="s">
        <v>45</v>
      </c>
      <c r="I1066" s="47" t="s">
        <v>151</v>
      </c>
      <c r="J1066" s="47" t="s">
        <v>28</v>
      </c>
      <c r="K1066" s="47" t="s">
        <v>34</v>
      </c>
    </row>
    <row r="1067" customFormat="false" ht="15" hidden="false" customHeight="false" outlineLevel="0" collapsed="false">
      <c r="A1067" s="0" t="s">
        <v>1887</v>
      </c>
      <c r="B1067" s="0" t="s">
        <v>1888</v>
      </c>
      <c r="D1067" s="46" t="n">
        <v>45734</v>
      </c>
      <c r="E1067" s="47" t="s">
        <v>60</v>
      </c>
      <c r="F1067" s="48" t="n">
        <v>184271.36</v>
      </c>
      <c r="G1067" s="47" t="s">
        <v>65</v>
      </c>
      <c r="H1067" s="47" t="s">
        <v>47</v>
      </c>
      <c r="I1067" s="47" t="s">
        <v>166</v>
      </c>
      <c r="J1067" s="47" t="s">
        <v>28</v>
      </c>
      <c r="K1067" s="47" t="s">
        <v>33</v>
      </c>
    </row>
    <row r="1068" customFormat="false" ht="15" hidden="false" customHeight="false" outlineLevel="0" collapsed="false">
      <c r="A1068" s="0" t="s">
        <v>1889</v>
      </c>
      <c r="B1068" s="0" t="s">
        <v>1168</v>
      </c>
      <c r="D1068" s="46" t="n">
        <v>45851</v>
      </c>
      <c r="E1068" s="47" t="s">
        <v>62</v>
      </c>
      <c r="F1068" s="48" t="n">
        <v>119531.64</v>
      </c>
      <c r="G1068" s="47" t="s">
        <v>66</v>
      </c>
      <c r="H1068" s="47" t="s">
        <v>46</v>
      </c>
      <c r="I1068" s="47" t="s">
        <v>242</v>
      </c>
      <c r="J1068" s="47" t="s">
        <v>28</v>
      </c>
      <c r="K1068" s="47" t="s">
        <v>34</v>
      </c>
    </row>
    <row r="1069" customFormat="false" ht="15" hidden="false" customHeight="false" outlineLevel="0" collapsed="false">
      <c r="A1069" s="0" t="s">
        <v>1890</v>
      </c>
      <c r="B1069" s="0" t="s">
        <v>417</v>
      </c>
      <c r="D1069" s="46" t="n">
        <v>46003</v>
      </c>
      <c r="E1069" s="47" t="s">
        <v>62</v>
      </c>
      <c r="F1069" s="48" t="n">
        <v>85651.65</v>
      </c>
      <c r="G1069" s="47" t="s">
        <v>66</v>
      </c>
      <c r="H1069" s="47" t="s">
        <v>39</v>
      </c>
      <c r="I1069" s="47" t="s">
        <v>145</v>
      </c>
      <c r="J1069" s="47" t="s">
        <v>28</v>
      </c>
      <c r="K1069" s="47" t="s">
        <v>33</v>
      </c>
    </row>
    <row r="1070" customFormat="false" ht="15" hidden="false" customHeight="false" outlineLevel="0" collapsed="false">
      <c r="A1070" s="0" t="s">
        <v>1891</v>
      </c>
      <c r="B1070" s="0" t="s">
        <v>1892</v>
      </c>
      <c r="D1070" s="46" t="n">
        <v>46063</v>
      </c>
      <c r="E1070" s="47" t="s">
        <v>59</v>
      </c>
      <c r="F1070" s="48" t="n">
        <v>179720.36</v>
      </c>
      <c r="G1070" s="47" t="s">
        <v>57</v>
      </c>
      <c r="H1070" s="47" t="s">
        <v>44</v>
      </c>
      <c r="I1070" s="47" t="s">
        <v>226</v>
      </c>
      <c r="J1070" s="47" t="s">
        <v>28</v>
      </c>
      <c r="K1070" s="47" t="s">
        <v>33</v>
      </c>
    </row>
    <row r="1071" customFormat="false" ht="15" hidden="false" customHeight="false" outlineLevel="0" collapsed="false">
      <c r="A1071" s="0" t="s">
        <v>1893</v>
      </c>
      <c r="B1071" s="0" t="s">
        <v>139</v>
      </c>
      <c r="D1071" s="46" t="n">
        <v>46083</v>
      </c>
      <c r="E1071" s="47" t="s">
        <v>61</v>
      </c>
      <c r="F1071" s="48" t="n">
        <v>142428.79</v>
      </c>
      <c r="G1071" s="47" t="s">
        <v>68</v>
      </c>
      <c r="H1071" s="47" t="s">
        <v>41</v>
      </c>
      <c r="I1071" s="47" t="s">
        <v>86</v>
      </c>
      <c r="J1071" s="47" t="s">
        <v>28</v>
      </c>
      <c r="K1071" s="47" t="s">
        <v>33</v>
      </c>
    </row>
    <row r="1072" customFormat="false" ht="15" hidden="false" customHeight="false" outlineLevel="0" collapsed="false">
      <c r="A1072" s="0" t="s">
        <v>1894</v>
      </c>
      <c r="B1072" s="0" t="s">
        <v>188</v>
      </c>
      <c r="D1072" s="46" t="n">
        <v>46251</v>
      </c>
      <c r="E1072" s="47" t="s">
        <v>53</v>
      </c>
      <c r="F1072" s="48" t="n">
        <v>120768.12</v>
      </c>
      <c r="G1072" s="47" t="s">
        <v>65</v>
      </c>
      <c r="H1072" s="47" t="s">
        <v>43</v>
      </c>
      <c r="I1072" s="47" t="s">
        <v>117</v>
      </c>
      <c r="J1072" s="47" t="s">
        <v>29</v>
      </c>
      <c r="K1072" s="47" t="s">
        <v>34</v>
      </c>
    </row>
    <row r="1073" customFormat="false" ht="15" hidden="false" customHeight="false" outlineLevel="0" collapsed="false">
      <c r="A1073" s="0" t="s">
        <v>1895</v>
      </c>
      <c r="B1073" s="0" t="s">
        <v>806</v>
      </c>
      <c r="D1073" s="46" t="n">
        <v>45658</v>
      </c>
      <c r="E1073" s="47" t="s">
        <v>62</v>
      </c>
      <c r="F1073" s="48" t="n">
        <v>144885.93</v>
      </c>
      <c r="G1073" s="47" t="s">
        <v>57</v>
      </c>
      <c r="H1073" s="47" t="s">
        <v>47</v>
      </c>
      <c r="I1073" s="47" t="s">
        <v>108</v>
      </c>
      <c r="J1073" s="47" t="s">
        <v>28</v>
      </c>
      <c r="K1073" s="47" t="s">
        <v>34</v>
      </c>
    </row>
    <row r="1074" customFormat="false" ht="15" hidden="false" customHeight="false" outlineLevel="0" collapsed="false">
      <c r="A1074" s="0" t="s">
        <v>1896</v>
      </c>
      <c r="B1074" s="0" t="s">
        <v>1248</v>
      </c>
      <c r="D1074" s="46" t="n">
        <v>46024</v>
      </c>
      <c r="E1074" s="47" t="s">
        <v>58</v>
      </c>
      <c r="F1074" s="48" t="n">
        <v>66005.46</v>
      </c>
      <c r="G1074" s="47" t="s">
        <v>65</v>
      </c>
      <c r="H1074" s="47" t="s">
        <v>44</v>
      </c>
      <c r="I1074" s="47" t="s">
        <v>80</v>
      </c>
      <c r="J1074" s="47" t="s">
        <v>28</v>
      </c>
      <c r="K1074" s="47" t="s">
        <v>33</v>
      </c>
    </row>
    <row r="1075" customFormat="false" ht="15" hidden="false" customHeight="false" outlineLevel="0" collapsed="false">
      <c r="A1075" s="0" t="s">
        <v>1897</v>
      </c>
      <c r="B1075" s="0" t="s">
        <v>1898</v>
      </c>
      <c r="D1075" s="46" t="n">
        <v>45875</v>
      </c>
      <c r="E1075" s="47" t="s">
        <v>61</v>
      </c>
      <c r="F1075" s="48" t="n">
        <v>44556.06</v>
      </c>
      <c r="G1075" s="47" t="s">
        <v>53</v>
      </c>
      <c r="H1075" s="47" t="s">
        <v>43</v>
      </c>
      <c r="I1075" s="47" t="s">
        <v>201</v>
      </c>
      <c r="J1075" s="47" t="s">
        <v>28</v>
      </c>
      <c r="K1075" s="47" t="s">
        <v>34</v>
      </c>
    </row>
    <row r="1076" customFormat="false" ht="15" hidden="false" customHeight="false" outlineLevel="0" collapsed="false">
      <c r="A1076" s="0" t="s">
        <v>1899</v>
      </c>
      <c r="B1076" s="0" t="s">
        <v>513</v>
      </c>
      <c r="D1076" s="46" t="n">
        <v>45831</v>
      </c>
      <c r="E1076" s="47" t="s">
        <v>61</v>
      </c>
      <c r="F1076" s="48" t="n">
        <v>114513</v>
      </c>
      <c r="G1076" s="47" t="s">
        <v>53</v>
      </c>
      <c r="H1076" s="47" t="s">
        <v>44</v>
      </c>
      <c r="I1076" s="47" t="s">
        <v>80</v>
      </c>
      <c r="J1076" s="47" t="s">
        <v>28</v>
      </c>
      <c r="K1076" s="47" t="s">
        <v>34</v>
      </c>
    </row>
    <row r="1077" customFormat="false" ht="15" hidden="false" customHeight="false" outlineLevel="0" collapsed="false">
      <c r="A1077" s="0" t="s">
        <v>1900</v>
      </c>
      <c r="B1077" s="0" t="s">
        <v>1901</v>
      </c>
      <c r="D1077" s="46" t="n">
        <v>46256</v>
      </c>
      <c r="E1077" s="47" t="s">
        <v>62</v>
      </c>
      <c r="F1077" s="48" t="n">
        <v>33067.09</v>
      </c>
      <c r="G1077" s="47" t="s">
        <v>65</v>
      </c>
      <c r="H1077" s="47" t="s">
        <v>42</v>
      </c>
      <c r="I1077" s="47" t="s">
        <v>105</v>
      </c>
      <c r="J1077" s="47" t="s">
        <v>28</v>
      </c>
      <c r="K1077" s="47" t="s">
        <v>33</v>
      </c>
    </row>
    <row r="1078" customFormat="false" ht="15" hidden="false" customHeight="false" outlineLevel="0" collapsed="false">
      <c r="A1078" s="0" t="s">
        <v>1902</v>
      </c>
      <c r="B1078" s="0" t="s">
        <v>1270</v>
      </c>
      <c r="D1078" s="46" t="n">
        <v>46049</v>
      </c>
      <c r="E1078" s="47" t="s">
        <v>55</v>
      </c>
      <c r="F1078" s="48" t="n">
        <v>59536.26</v>
      </c>
      <c r="G1078" s="47" t="s">
        <v>66</v>
      </c>
      <c r="H1078" s="47" t="s">
        <v>44</v>
      </c>
      <c r="I1078" s="47" t="s">
        <v>132</v>
      </c>
      <c r="J1078" s="47" t="s">
        <v>28</v>
      </c>
      <c r="K1078" s="47" t="s">
        <v>33</v>
      </c>
    </row>
    <row r="1079" customFormat="false" ht="15" hidden="false" customHeight="false" outlineLevel="0" collapsed="false">
      <c r="A1079" s="0" t="s">
        <v>1903</v>
      </c>
      <c r="B1079" s="0" t="s">
        <v>814</v>
      </c>
      <c r="D1079" s="46" t="n">
        <v>46004</v>
      </c>
      <c r="E1079" s="47" t="s">
        <v>61</v>
      </c>
      <c r="F1079" s="48" t="n">
        <v>153337.23</v>
      </c>
      <c r="G1079" s="47" t="s">
        <v>65</v>
      </c>
      <c r="H1079" s="47" t="s">
        <v>41</v>
      </c>
      <c r="I1079" s="47" t="s">
        <v>293</v>
      </c>
      <c r="J1079" s="47" t="s">
        <v>28</v>
      </c>
      <c r="K1079" s="47" t="s">
        <v>34</v>
      </c>
    </row>
    <row r="1080" customFormat="false" ht="15" hidden="false" customHeight="false" outlineLevel="0" collapsed="false">
      <c r="A1080" s="0" t="s">
        <v>1904</v>
      </c>
      <c r="B1080" s="0" t="s">
        <v>623</v>
      </c>
      <c r="C1080" s="0" t="s">
        <v>1905</v>
      </c>
      <c r="D1080" s="46" t="n">
        <v>45914</v>
      </c>
      <c r="E1080" s="47" t="s">
        <v>61</v>
      </c>
      <c r="F1080" s="48" t="n">
        <v>29959.48</v>
      </c>
      <c r="G1080" s="47" t="s">
        <v>65</v>
      </c>
      <c r="H1080" s="47" t="s">
        <v>40</v>
      </c>
      <c r="I1080" s="47" t="s">
        <v>89</v>
      </c>
      <c r="J1080" s="47" t="s">
        <v>28</v>
      </c>
      <c r="K1080" s="47" t="s">
        <v>33</v>
      </c>
    </row>
    <row r="1081" customFormat="false" ht="15" hidden="false" customHeight="false" outlineLevel="0" collapsed="false">
      <c r="A1081" s="0" t="s">
        <v>1906</v>
      </c>
      <c r="B1081" s="0" t="s">
        <v>237</v>
      </c>
      <c r="C1081" s="0" t="s">
        <v>1907</v>
      </c>
      <c r="D1081" s="46" t="n">
        <v>46131</v>
      </c>
      <c r="E1081" s="47" t="s">
        <v>58</v>
      </c>
      <c r="F1081" s="48" t="n">
        <v>88580.78</v>
      </c>
      <c r="G1081" s="47" t="s">
        <v>66</v>
      </c>
      <c r="H1081" s="47" t="s">
        <v>47</v>
      </c>
      <c r="I1081" s="47" t="s">
        <v>108</v>
      </c>
      <c r="J1081" s="47" t="s">
        <v>28</v>
      </c>
      <c r="K1081" s="47" t="s">
        <v>34</v>
      </c>
    </row>
    <row r="1082" customFormat="false" ht="15" hidden="false" customHeight="false" outlineLevel="0" collapsed="false">
      <c r="A1082" s="0" t="s">
        <v>1908</v>
      </c>
      <c r="B1082" s="0" t="s">
        <v>1909</v>
      </c>
      <c r="D1082" s="46" t="n">
        <v>45852</v>
      </c>
      <c r="E1082" s="47" t="s">
        <v>60</v>
      </c>
      <c r="F1082" s="48" t="n">
        <v>123680.79</v>
      </c>
      <c r="G1082" s="47" t="s">
        <v>65</v>
      </c>
      <c r="H1082" s="47" t="s">
        <v>43</v>
      </c>
      <c r="I1082" s="47" t="s">
        <v>102</v>
      </c>
      <c r="J1082" s="47" t="s">
        <v>28</v>
      </c>
      <c r="K1082" s="47" t="s">
        <v>33</v>
      </c>
    </row>
    <row r="1083" customFormat="false" ht="15" hidden="false" customHeight="false" outlineLevel="0" collapsed="false">
      <c r="A1083" s="0" t="s">
        <v>1910</v>
      </c>
      <c r="B1083" s="0" t="s">
        <v>575</v>
      </c>
      <c r="D1083" s="46" t="n">
        <v>46273</v>
      </c>
      <c r="E1083" s="47" t="s">
        <v>55</v>
      </c>
      <c r="F1083" s="48" t="n">
        <v>27906.91</v>
      </c>
      <c r="G1083" s="47" t="s">
        <v>53</v>
      </c>
      <c r="H1083" s="47" t="s">
        <v>45</v>
      </c>
      <c r="I1083" s="47" t="s">
        <v>217</v>
      </c>
      <c r="J1083" s="47" t="s">
        <v>28</v>
      </c>
      <c r="K1083" s="47" t="s">
        <v>34</v>
      </c>
    </row>
    <row r="1084" customFormat="false" ht="15" hidden="false" customHeight="false" outlineLevel="0" collapsed="false">
      <c r="A1084" s="0" t="s">
        <v>1911</v>
      </c>
      <c r="B1084" s="0" t="s">
        <v>1374</v>
      </c>
      <c r="D1084" s="46" t="n">
        <v>46216</v>
      </c>
      <c r="E1084" s="47" t="s">
        <v>58</v>
      </c>
      <c r="F1084" s="48" t="n">
        <v>112532.63</v>
      </c>
      <c r="G1084" s="47" t="s">
        <v>68</v>
      </c>
      <c r="H1084" s="47" t="s">
        <v>40</v>
      </c>
      <c r="I1084" s="47" t="s">
        <v>83</v>
      </c>
      <c r="J1084" s="47" t="s">
        <v>28</v>
      </c>
      <c r="K1084" s="47" t="s">
        <v>33</v>
      </c>
    </row>
    <row r="1085" customFormat="false" ht="15" hidden="false" customHeight="false" outlineLevel="0" collapsed="false">
      <c r="A1085" s="0" t="s">
        <v>1912</v>
      </c>
      <c r="B1085" s="0" t="s">
        <v>1628</v>
      </c>
      <c r="D1085" s="46" t="n">
        <v>45784</v>
      </c>
      <c r="E1085" s="47" t="s">
        <v>58</v>
      </c>
      <c r="F1085" s="48" t="n">
        <v>126282.52</v>
      </c>
      <c r="G1085" s="47" t="s">
        <v>53</v>
      </c>
      <c r="H1085" s="47" t="s">
        <v>45</v>
      </c>
      <c r="I1085" s="47" t="s">
        <v>217</v>
      </c>
      <c r="J1085" s="47" t="s">
        <v>28</v>
      </c>
      <c r="K1085" s="47" t="s">
        <v>33</v>
      </c>
    </row>
    <row r="1086" customFormat="false" ht="15" hidden="false" customHeight="false" outlineLevel="0" collapsed="false">
      <c r="A1086" s="0" t="s">
        <v>1913</v>
      </c>
      <c r="B1086" s="0" t="s">
        <v>1493</v>
      </c>
      <c r="D1086" s="46" t="n">
        <v>46270</v>
      </c>
      <c r="E1086" s="47" t="s">
        <v>60</v>
      </c>
      <c r="F1086" s="48" t="n">
        <v>86039.09</v>
      </c>
      <c r="G1086" s="47" t="s">
        <v>68</v>
      </c>
      <c r="H1086" s="47" t="s">
        <v>39</v>
      </c>
      <c r="I1086" s="47" t="s">
        <v>145</v>
      </c>
      <c r="J1086" s="47" t="s">
        <v>28</v>
      </c>
      <c r="K1086" s="47" t="s">
        <v>33</v>
      </c>
    </row>
    <row r="1087" customFormat="false" ht="15" hidden="false" customHeight="false" outlineLevel="0" collapsed="false">
      <c r="A1087" s="0" t="s">
        <v>1914</v>
      </c>
      <c r="B1087" s="0" t="s">
        <v>252</v>
      </c>
      <c r="D1087" s="46" t="n">
        <v>45827</v>
      </c>
      <c r="E1087" s="47" t="s">
        <v>62</v>
      </c>
      <c r="F1087" s="48" t="n">
        <v>173924.86</v>
      </c>
      <c r="G1087" s="47" t="s">
        <v>53</v>
      </c>
      <c r="H1087" s="47" t="s">
        <v>40</v>
      </c>
      <c r="I1087" s="47" t="s">
        <v>253</v>
      </c>
      <c r="J1087" s="47" t="s">
        <v>28</v>
      </c>
      <c r="K1087" s="47" t="s">
        <v>34</v>
      </c>
    </row>
    <row r="1088" customFormat="false" ht="15" hidden="false" customHeight="false" outlineLevel="0" collapsed="false">
      <c r="A1088" s="0" t="s">
        <v>1915</v>
      </c>
      <c r="B1088" s="0" t="s">
        <v>808</v>
      </c>
      <c r="C1088" s="0" t="s">
        <v>1916</v>
      </c>
      <c r="D1088" s="46" t="n">
        <v>46218</v>
      </c>
      <c r="E1088" s="47" t="s">
        <v>59</v>
      </c>
      <c r="F1088" s="48" t="n">
        <v>72065.91</v>
      </c>
      <c r="G1088" s="47" t="s">
        <v>66</v>
      </c>
      <c r="H1088" s="47" t="s">
        <v>44</v>
      </c>
      <c r="I1088" s="47" t="s">
        <v>80</v>
      </c>
      <c r="J1088" s="47" t="s">
        <v>28</v>
      </c>
      <c r="K1088" s="47" t="s">
        <v>34</v>
      </c>
    </row>
    <row r="1089" customFormat="false" ht="15" hidden="false" customHeight="false" outlineLevel="0" collapsed="false">
      <c r="A1089" s="0" t="s">
        <v>1917</v>
      </c>
      <c r="B1089" s="0" t="s">
        <v>1918</v>
      </c>
      <c r="D1089" s="46" t="n">
        <v>45726</v>
      </c>
      <c r="E1089" s="47" t="s">
        <v>60</v>
      </c>
      <c r="F1089" s="48" t="n">
        <v>51425.07</v>
      </c>
      <c r="G1089" s="47" t="s">
        <v>53</v>
      </c>
      <c r="H1089" s="47" t="s">
        <v>40</v>
      </c>
      <c r="I1089" s="47" t="s">
        <v>83</v>
      </c>
      <c r="J1089" s="47" t="s">
        <v>28</v>
      </c>
      <c r="K1089" s="47" t="s">
        <v>34</v>
      </c>
    </row>
    <row r="1090" customFormat="false" ht="15" hidden="false" customHeight="false" outlineLevel="0" collapsed="false">
      <c r="A1090" s="0" t="s">
        <v>1919</v>
      </c>
      <c r="B1090" s="0" t="s">
        <v>782</v>
      </c>
      <c r="D1090" s="46" t="n">
        <v>45936</v>
      </c>
      <c r="E1090" s="47" t="s">
        <v>60</v>
      </c>
      <c r="F1090" s="48" t="n">
        <v>106363.59</v>
      </c>
      <c r="G1090" s="47" t="s">
        <v>66</v>
      </c>
      <c r="H1090" s="47" t="s">
        <v>39</v>
      </c>
      <c r="I1090" s="47" t="s">
        <v>98</v>
      </c>
      <c r="J1090" s="47" t="s">
        <v>28</v>
      </c>
      <c r="K1090" s="47" t="s">
        <v>33</v>
      </c>
    </row>
    <row r="1091" customFormat="false" ht="15" hidden="false" customHeight="false" outlineLevel="0" collapsed="false">
      <c r="A1091" s="0" t="s">
        <v>1920</v>
      </c>
      <c r="B1091" s="0" t="s">
        <v>674</v>
      </c>
      <c r="D1091" s="46" t="n">
        <v>46003</v>
      </c>
      <c r="E1091" s="47" t="s">
        <v>60</v>
      </c>
      <c r="F1091" s="48" t="n">
        <v>72394.89</v>
      </c>
      <c r="G1091" s="47" t="s">
        <v>68</v>
      </c>
      <c r="H1091" s="47" t="s">
        <v>42</v>
      </c>
      <c r="I1091" s="47" t="s">
        <v>105</v>
      </c>
      <c r="J1091" s="47" t="s">
        <v>28</v>
      </c>
      <c r="K1091" s="47" t="s">
        <v>33</v>
      </c>
    </row>
    <row r="1092" customFormat="false" ht="15" hidden="false" customHeight="false" outlineLevel="0" collapsed="false">
      <c r="A1092" s="0" t="s">
        <v>1921</v>
      </c>
      <c r="B1092" s="0" t="s">
        <v>168</v>
      </c>
      <c r="D1092" s="46" t="n">
        <v>45791</v>
      </c>
      <c r="E1092" s="47" t="s">
        <v>59</v>
      </c>
      <c r="F1092" s="48" t="n">
        <v>198839.18</v>
      </c>
      <c r="G1092" s="47" t="s">
        <v>53</v>
      </c>
      <c r="H1092" s="47" t="s">
        <v>43</v>
      </c>
      <c r="I1092" s="47" t="s">
        <v>117</v>
      </c>
      <c r="J1092" s="47" t="s">
        <v>29</v>
      </c>
      <c r="K1092" s="47" t="s">
        <v>34</v>
      </c>
    </row>
    <row r="1093" customFormat="false" ht="15" hidden="false" customHeight="false" outlineLevel="0" collapsed="false">
      <c r="A1093" s="0" t="s">
        <v>1922</v>
      </c>
      <c r="B1093" s="0" t="s">
        <v>1072</v>
      </c>
      <c r="D1093" s="46" t="n">
        <v>46061</v>
      </c>
      <c r="E1093" s="47" t="s">
        <v>59</v>
      </c>
      <c r="F1093" s="48" t="n">
        <v>177121.17</v>
      </c>
      <c r="G1093" s="47" t="s">
        <v>66</v>
      </c>
      <c r="H1093" s="47" t="s">
        <v>45</v>
      </c>
      <c r="I1093" s="47" t="s">
        <v>217</v>
      </c>
      <c r="J1093" s="47" t="s">
        <v>28</v>
      </c>
      <c r="K1093" s="47" t="s">
        <v>33</v>
      </c>
    </row>
    <row r="1094" customFormat="false" ht="15" hidden="false" customHeight="false" outlineLevel="0" collapsed="false">
      <c r="A1094" s="0" t="s">
        <v>1923</v>
      </c>
      <c r="B1094" s="0" t="s">
        <v>107</v>
      </c>
      <c r="D1094" s="46" t="n">
        <v>46246</v>
      </c>
      <c r="E1094" s="47" t="s">
        <v>60</v>
      </c>
      <c r="F1094" s="48" t="n">
        <v>123273.33</v>
      </c>
      <c r="G1094" s="47" t="s">
        <v>53</v>
      </c>
      <c r="H1094" s="47" t="s">
        <v>47</v>
      </c>
      <c r="I1094" s="47" t="s">
        <v>108</v>
      </c>
      <c r="J1094" s="47" t="s">
        <v>28</v>
      </c>
      <c r="K1094" s="47" t="s">
        <v>33</v>
      </c>
    </row>
    <row r="1095" customFormat="false" ht="15" hidden="false" customHeight="false" outlineLevel="0" collapsed="false">
      <c r="A1095" s="0" t="s">
        <v>1924</v>
      </c>
      <c r="B1095" s="0" t="s">
        <v>1219</v>
      </c>
      <c r="C1095" s="0" t="s">
        <v>1925</v>
      </c>
      <c r="D1095" s="46" t="n">
        <v>45790</v>
      </c>
      <c r="E1095" s="47" t="s">
        <v>55</v>
      </c>
      <c r="F1095" s="48" t="n">
        <v>157370.44</v>
      </c>
      <c r="G1095" s="47" t="s">
        <v>57</v>
      </c>
      <c r="H1095" s="47" t="s">
        <v>44</v>
      </c>
      <c r="I1095" s="47" t="s">
        <v>132</v>
      </c>
      <c r="J1095" s="47" t="s">
        <v>28</v>
      </c>
      <c r="K1095" s="47" t="s">
        <v>33</v>
      </c>
    </row>
    <row r="1096" customFormat="false" ht="15" hidden="false" customHeight="false" outlineLevel="0" collapsed="false">
      <c r="A1096" s="0" t="s">
        <v>1926</v>
      </c>
      <c r="B1096" s="0" t="s">
        <v>1927</v>
      </c>
      <c r="D1096" s="46" t="n">
        <v>46030</v>
      </c>
      <c r="E1096" s="47" t="s">
        <v>53</v>
      </c>
      <c r="F1096" s="48" t="n">
        <v>75718.26</v>
      </c>
      <c r="G1096" s="47" t="s">
        <v>68</v>
      </c>
      <c r="H1096" s="47" t="s">
        <v>47</v>
      </c>
      <c r="I1096" s="47" t="s">
        <v>108</v>
      </c>
      <c r="J1096" s="47" t="s">
        <v>28</v>
      </c>
      <c r="K1096" s="47" t="s">
        <v>33</v>
      </c>
    </row>
    <row r="1097" customFormat="false" ht="15" hidden="false" customHeight="false" outlineLevel="0" collapsed="false">
      <c r="A1097" s="0" t="s">
        <v>1928</v>
      </c>
      <c r="B1097" s="0" t="s">
        <v>1929</v>
      </c>
      <c r="D1097" s="46" t="n">
        <v>46054</v>
      </c>
      <c r="E1097" s="47" t="s">
        <v>60</v>
      </c>
      <c r="F1097" s="48" t="n">
        <v>15439.37</v>
      </c>
      <c r="G1097" s="47" t="s">
        <v>65</v>
      </c>
      <c r="H1097" s="47" t="s">
        <v>39</v>
      </c>
      <c r="I1097" s="47" t="s">
        <v>177</v>
      </c>
      <c r="J1097" s="47" t="s">
        <v>29</v>
      </c>
      <c r="K1097" s="47" t="s">
        <v>33</v>
      </c>
    </row>
    <row r="1098" customFormat="false" ht="15" hidden="false" customHeight="false" outlineLevel="0" collapsed="false">
      <c r="A1098" s="0" t="s">
        <v>1930</v>
      </c>
      <c r="B1098" s="0" t="s">
        <v>690</v>
      </c>
      <c r="D1098" s="46" t="n">
        <v>45737</v>
      </c>
      <c r="E1098" s="47" t="s">
        <v>60</v>
      </c>
      <c r="F1098" s="48" t="n">
        <v>1592.96</v>
      </c>
      <c r="G1098" s="47" t="s">
        <v>66</v>
      </c>
      <c r="H1098" s="47" t="s">
        <v>43</v>
      </c>
      <c r="I1098" s="47" t="s">
        <v>201</v>
      </c>
      <c r="J1098" s="47" t="s">
        <v>28</v>
      </c>
      <c r="K1098" s="47" t="s">
        <v>34</v>
      </c>
    </row>
    <row r="1099" customFormat="false" ht="15" hidden="false" customHeight="false" outlineLevel="0" collapsed="false">
      <c r="A1099" s="0" t="s">
        <v>1931</v>
      </c>
      <c r="B1099" s="0" t="s">
        <v>1045</v>
      </c>
      <c r="D1099" s="46" t="n">
        <v>45803</v>
      </c>
      <c r="E1099" s="47" t="s">
        <v>53</v>
      </c>
      <c r="F1099" s="48" t="n">
        <v>185024.12</v>
      </c>
      <c r="G1099" s="47" t="s">
        <v>66</v>
      </c>
      <c r="H1099" s="47" t="s">
        <v>41</v>
      </c>
      <c r="I1099" s="47" t="s">
        <v>293</v>
      </c>
      <c r="J1099" s="47" t="s">
        <v>28</v>
      </c>
      <c r="K1099" s="47" t="s">
        <v>33</v>
      </c>
    </row>
    <row r="1100" customFormat="false" ht="15" hidden="false" customHeight="false" outlineLevel="0" collapsed="false">
      <c r="A1100" s="0" t="s">
        <v>1932</v>
      </c>
      <c r="B1100" s="0" t="s">
        <v>211</v>
      </c>
      <c r="D1100" s="46" t="n">
        <v>45941</v>
      </c>
      <c r="E1100" s="47" t="s">
        <v>53</v>
      </c>
      <c r="F1100" s="48" t="n">
        <v>49088.23</v>
      </c>
      <c r="G1100" s="47" t="s">
        <v>57</v>
      </c>
      <c r="H1100" s="47" t="s">
        <v>48</v>
      </c>
      <c r="I1100" s="47" t="s">
        <v>212</v>
      </c>
      <c r="J1100" s="47" t="s">
        <v>28</v>
      </c>
      <c r="K1100" s="47" t="s">
        <v>33</v>
      </c>
    </row>
    <row r="1101" customFormat="false" ht="15" hidden="false" customHeight="false" outlineLevel="0" collapsed="false">
      <c r="A1101" s="0" t="s">
        <v>1933</v>
      </c>
      <c r="B1101" s="0" t="s">
        <v>547</v>
      </c>
      <c r="D1101" s="46" t="n">
        <v>45839</v>
      </c>
      <c r="E1101" s="47" t="s">
        <v>53</v>
      </c>
      <c r="F1101" s="48" t="n">
        <v>4374.3</v>
      </c>
      <c r="G1101" s="47" t="s">
        <v>57</v>
      </c>
      <c r="H1101" s="47" t="s">
        <v>47</v>
      </c>
      <c r="I1101" s="47" t="s">
        <v>245</v>
      </c>
      <c r="J1101" s="47" t="s">
        <v>28</v>
      </c>
      <c r="K1101" s="47" t="s">
        <v>34</v>
      </c>
    </row>
    <row r="1102" customFormat="false" ht="15" hidden="false" customHeight="false" outlineLevel="0" collapsed="false">
      <c r="A1102" s="0" t="s">
        <v>1934</v>
      </c>
      <c r="B1102" s="0" t="s">
        <v>373</v>
      </c>
      <c r="D1102" s="46" t="n">
        <v>45962</v>
      </c>
      <c r="E1102" s="47" t="s">
        <v>53</v>
      </c>
      <c r="F1102" s="48" t="n">
        <v>90800.07</v>
      </c>
      <c r="G1102" s="47" t="s">
        <v>68</v>
      </c>
      <c r="H1102" s="47" t="s">
        <v>43</v>
      </c>
      <c r="I1102" s="47" t="s">
        <v>102</v>
      </c>
      <c r="J1102" s="47" t="s">
        <v>28</v>
      </c>
      <c r="K1102" s="47" t="s">
        <v>33</v>
      </c>
    </row>
    <row r="1103" customFormat="false" ht="15" hidden="false" customHeight="false" outlineLevel="0" collapsed="false">
      <c r="A1103" s="0" t="s">
        <v>1935</v>
      </c>
      <c r="B1103" s="0" t="s">
        <v>119</v>
      </c>
      <c r="D1103" s="46" t="n">
        <v>45978</v>
      </c>
      <c r="E1103" s="47" t="s">
        <v>53</v>
      </c>
      <c r="F1103" s="48" t="n">
        <v>135531.54</v>
      </c>
      <c r="G1103" s="47" t="s">
        <v>65</v>
      </c>
      <c r="H1103" s="47" t="s">
        <v>46</v>
      </c>
      <c r="I1103" s="47" t="s">
        <v>121</v>
      </c>
      <c r="J1103" s="47" t="s">
        <v>29</v>
      </c>
      <c r="K1103" s="47" t="s">
        <v>34</v>
      </c>
    </row>
    <row r="1104" customFormat="false" ht="15" hidden="false" customHeight="false" outlineLevel="0" collapsed="false">
      <c r="A1104" s="0" t="s">
        <v>1936</v>
      </c>
      <c r="B1104" s="0" t="s">
        <v>481</v>
      </c>
      <c r="D1104" s="46" t="n">
        <v>45933</v>
      </c>
      <c r="E1104" s="47" t="s">
        <v>59</v>
      </c>
      <c r="F1104" s="48" t="n">
        <v>148322.08</v>
      </c>
      <c r="G1104" s="47" t="s">
        <v>65</v>
      </c>
      <c r="H1104" s="47" t="s">
        <v>42</v>
      </c>
      <c r="I1104" s="47" t="s">
        <v>398</v>
      </c>
      <c r="J1104" s="47" t="s">
        <v>30</v>
      </c>
      <c r="K1104" s="47" t="s">
        <v>34</v>
      </c>
    </row>
    <row r="1105" customFormat="false" ht="15" hidden="false" customHeight="false" outlineLevel="0" collapsed="false">
      <c r="A1105" s="0" t="s">
        <v>1937</v>
      </c>
      <c r="B1105" s="0" t="s">
        <v>1938</v>
      </c>
      <c r="D1105" s="46" t="n">
        <v>46086</v>
      </c>
      <c r="E1105" s="47" t="s">
        <v>58</v>
      </c>
      <c r="F1105" s="48" t="n">
        <v>69483.29</v>
      </c>
      <c r="G1105" s="47" t="s">
        <v>57</v>
      </c>
      <c r="H1105" s="47" t="s">
        <v>41</v>
      </c>
      <c r="I1105" s="47" t="s">
        <v>293</v>
      </c>
      <c r="J1105" s="47" t="s">
        <v>28</v>
      </c>
      <c r="K1105" s="47" t="s">
        <v>33</v>
      </c>
    </row>
    <row r="1106" customFormat="false" ht="15" hidden="false" customHeight="false" outlineLevel="0" collapsed="false">
      <c r="A1106" s="0" t="s">
        <v>1939</v>
      </c>
      <c r="B1106" s="0" t="s">
        <v>762</v>
      </c>
      <c r="D1106" s="46" t="n">
        <v>46012</v>
      </c>
      <c r="E1106" s="47" t="s">
        <v>53</v>
      </c>
      <c r="F1106" s="48" t="n">
        <v>108675.26</v>
      </c>
      <c r="G1106" s="47" t="s">
        <v>66</v>
      </c>
      <c r="H1106" s="47" t="s">
        <v>43</v>
      </c>
      <c r="I1106" s="47" t="s">
        <v>201</v>
      </c>
      <c r="J1106" s="47" t="s">
        <v>28</v>
      </c>
      <c r="K1106" s="47" t="s">
        <v>34</v>
      </c>
    </row>
    <row r="1107" customFormat="false" ht="15" hidden="false" customHeight="false" outlineLevel="0" collapsed="false">
      <c r="A1107" s="0" t="s">
        <v>1940</v>
      </c>
      <c r="B1107" s="0" t="s">
        <v>1606</v>
      </c>
      <c r="D1107" s="46" t="n">
        <v>46034</v>
      </c>
      <c r="E1107" s="47" t="s">
        <v>58</v>
      </c>
      <c r="F1107" s="48" t="n">
        <v>25281.4</v>
      </c>
      <c r="G1107" s="47" t="s">
        <v>53</v>
      </c>
      <c r="H1107" s="47" t="s">
        <v>43</v>
      </c>
      <c r="I1107" s="47" t="s">
        <v>117</v>
      </c>
      <c r="J1107" s="47" t="s">
        <v>28</v>
      </c>
      <c r="K1107" s="47" t="s">
        <v>34</v>
      </c>
    </row>
    <row r="1108" customFormat="false" ht="15" hidden="false" customHeight="false" outlineLevel="0" collapsed="false">
      <c r="A1108" s="0" t="s">
        <v>1941</v>
      </c>
      <c r="B1108" s="0" t="s">
        <v>1828</v>
      </c>
      <c r="D1108" s="46" t="n">
        <v>45824</v>
      </c>
      <c r="E1108" s="47" t="s">
        <v>62</v>
      </c>
      <c r="F1108" s="48" t="n">
        <v>182361.45</v>
      </c>
      <c r="G1108" s="47" t="s">
        <v>65</v>
      </c>
      <c r="H1108" s="47" t="s">
        <v>43</v>
      </c>
      <c r="I1108" s="47" t="s">
        <v>102</v>
      </c>
      <c r="J1108" s="47" t="s">
        <v>28</v>
      </c>
      <c r="K1108" s="47" t="s">
        <v>33</v>
      </c>
    </row>
    <row r="1109" customFormat="false" ht="15" hidden="false" customHeight="false" outlineLevel="0" collapsed="false">
      <c r="A1109" s="0" t="s">
        <v>1942</v>
      </c>
      <c r="B1109" s="0" t="s">
        <v>989</v>
      </c>
      <c r="D1109" s="46" t="n">
        <v>46016</v>
      </c>
      <c r="E1109" s="47" t="s">
        <v>58</v>
      </c>
      <c r="F1109" s="48" t="n">
        <v>56746.63</v>
      </c>
      <c r="G1109" s="47" t="s">
        <v>68</v>
      </c>
      <c r="H1109" s="47" t="s">
        <v>48</v>
      </c>
      <c r="I1109" s="47" t="s">
        <v>212</v>
      </c>
      <c r="J1109" s="47" t="s">
        <v>28</v>
      </c>
      <c r="K1109" s="47" t="s">
        <v>34</v>
      </c>
    </row>
    <row r="1110" customFormat="false" ht="15" hidden="false" customHeight="false" outlineLevel="0" collapsed="false">
      <c r="A1110" s="0" t="s">
        <v>1943</v>
      </c>
      <c r="B1110" s="0" t="s">
        <v>432</v>
      </c>
      <c r="D1110" s="46" t="n">
        <v>45726</v>
      </c>
      <c r="E1110" s="47" t="s">
        <v>53</v>
      </c>
      <c r="F1110" s="48" t="n">
        <v>107750.75</v>
      </c>
      <c r="G1110" s="47" t="s">
        <v>65</v>
      </c>
      <c r="H1110" s="47" t="s">
        <v>46</v>
      </c>
      <c r="I1110" s="47" t="s">
        <v>121</v>
      </c>
      <c r="J1110" s="47" t="s">
        <v>28</v>
      </c>
      <c r="K1110" s="47" t="s">
        <v>33</v>
      </c>
    </row>
    <row r="1111" customFormat="false" ht="15" hidden="false" customHeight="false" outlineLevel="0" collapsed="false">
      <c r="A1111" s="0" t="s">
        <v>1944</v>
      </c>
      <c r="B1111" s="0" t="s">
        <v>868</v>
      </c>
      <c r="D1111" s="46" t="n">
        <v>45975</v>
      </c>
      <c r="E1111" s="47" t="s">
        <v>59</v>
      </c>
      <c r="F1111" s="48" t="n">
        <v>1741.33</v>
      </c>
      <c r="G1111" s="47" t="s">
        <v>65</v>
      </c>
      <c r="H1111" s="47" t="s">
        <v>46</v>
      </c>
      <c r="I1111" s="47" t="s">
        <v>121</v>
      </c>
      <c r="J1111" s="47" t="s">
        <v>28</v>
      </c>
      <c r="K1111" s="47" t="s">
        <v>33</v>
      </c>
    </row>
    <row r="1112" customFormat="false" ht="15" hidden="false" customHeight="false" outlineLevel="0" collapsed="false">
      <c r="A1112" s="0" t="s">
        <v>1945</v>
      </c>
      <c r="B1112" s="0" t="s">
        <v>1601</v>
      </c>
      <c r="D1112" s="46" t="n">
        <v>45951</v>
      </c>
      <c r="E1112" s="47" t="s">
        <v>53</v>
      </c>
      <c r="F1112" s="48" t="n">
        <v>17930.14</v>
      </c>
      <c r="G1112" s="47" t="s">
        <v>57</v>
      </c>
      <c r="H1112" s="47" t="s">
        <v>48</v>
      </c>
      <c r="I1112" s="47" t="s">
        <v>114</v>
      </c>
      <c r="J1112" s="47" t="s">
        <v>28</v>
      </c>
      <c r="K1112" s="47" t="s">
        <v>34</v>
      </c>
    </row>
    <row r="1113" customFormat="false" ht="15" hidden="false" customHeight="false" outlineLevel="0" collapsed="false">
      <c r="A1113" s="0" t="s">
        <v>1946</v>
      </c>
      <c r="B1113" s="0" t="s">
        <v>1490</v>
      </c>
      <c r="D1113" s="46" t="n">
        <v>46233</v>
      </c>
      <c r="E1113" s="47" t="s">
        <v>60</v>
      </c>
      <c r="F1113" s="48" t="n">
        <v>144496.86</v>
      </c>
      <c r="G1113" s="47" t="s">
        <v>66</v>
      </c>
      <c r="H1113" s="47" t="s">
        <v>40</v>
      </c>
      <c r="I1113" s="47" t="s">
        <v>83</v>
      </c>
      <c r="J1113" s="47" t="s">
        <v>29</v>
      </c>
      <c r="K1113" s="47" t="s">
        <v>34</v>
      </c>
    </row>
    <row r="1114" customFormat="false" ht="15" hidden="false" customHeight="false" outlineLevel="0" collapsed="false">
      <c r="A1114" s="0" t="s">
        <v>1947</v>
      </c>
      <c r="B1114" s="0" t="s">
        <v>1826</v>
      </c>
      <c r="D1114" s="46" t="n">
        <v>45998</v>
      </c>
      <c r="E1114" s="47" t="s">
        <v>60</v>
      </c>
      <c r="F1114" s="48" t="n">
        <v>67036.01</v>
      </c>
      <c r="G1114" s="47" t="s">
        <v>53</v>
      </c>
      <c r="H1114" s="47" t="s">
        <v>43</v>
      </c>
      <c r="I1114" s="47" t="s">
        <v>102</v>
      </c>
      <c r="J1114" s="47" t="s">
        <v>28</v>
      </c>
      <c r="K1114" s="47" t="s">
        <v>34</v>
      </c>
    </row>
    <row r="1115" customFormat="false" ht="15" hidden="false" customHeight="false" outlineLevel="0" collapsed="false">
      <c r="A1115" s="0" t="s">
        <v>1948</v>
      </c>
      <c r="B1115" s="0" t="s">
        <v>1385</v>
      </c>
      <c r="C1115" s="0" t="s">
        <v>1949</v>
      </c>
      <c r="D1115" s="46" t="n">
        <v>45902</v>
      </c>
      <c r="E1115" s="47" t="s">
        <v>53</v>
      </c>
      <c r="F1115" s="48" t="n">
        <v>8540.92</v>
      </c>
      <c r="G1115" s="47" t="s">
        <v>66</v>
      </c>
      <c r="H1115" s="47" t="s">
        <v>40</v>
      </c>
      <c r="I1115" s="47" t="s">
        <v>83</v>
      </c>
      <c r="J1115" s="47" t="s">
        <v>28</v>
      </c>
      <c r="K1115" s="47" t="s">
        <v>34</v>
      </c>
    </row>
    <row r="1116" customFormat="false" ht="15" hidden="false" customHeight="false" outlineLevel="0" collapsed="false">
      <c r="A1116" s="0" t="s">
        <v>1950</v>
      </c>
      <c r="B1116" s="0" t="s">
        <v>1201</v>
      </c>
      <c r="D1116" s="46" t="n">
        <v>45772</v>
      </c>
      <c r="E1116" s="47" t="s">
        <v>53</v>
      </c>
      <c r="F1116" s="48" t="n">
        <v>34386.82</v>
      </c>
      <c r="G1116" s="47" t="s">
        <v>68</v>
      </c>
      <c r="H1116" s="47" t="s">
        <v>42</v>
      </c>
      <c r="I1116" s="47" t="s">
        <v>137</v>
      </c>
      <c r="J1116" s="47" t="s">
        <v>28</v>
      </c>
      <c r="K1116" s="47" t="s">
        <v>33</v>
      </c>
    </row>
    <row r="1117" customFormat="false" ht="15" hidden="false" customHeight="false" outlineLevel="0" collapsed="false">
      <c r="A1117" s="0" t="s">
        <v>1951</v>
      </c>
      <c r="B1117" s="0" t="s">
        <v>1952</v>
      </c>
      <c r="D1117" s="46" t="n">
        <v>46164</v>
      </c>
      <c r="E1117" s="47" t="s">
        <v>60</v>
      </c>
      <c r="F1117" s="48" t="n">
        <v>102766.11</v>
      </c>
      <c r="G1117" s="47" t="s">
        <v>57</v>
      </c>
      <c r="H1117" s="47" t="s">
        <v>48</v>
      </c>
      <c r="I1117" s="47" t="s">
        <v>111</v>
      </c>
      <c r="J1117" s="47" t="s">
        <v>28</v>
      </c>
      <c r="K1117" s="47" t="s">
        <v>34</v>
      </c>
    </row>
    <row r="1118" customFormat="false" ht="15" hidden="false" customHeight="false" outlineLevel="0" collapsed="false">
      <c r="A1118" s="0" t="s">
        <v>1953</v>
      </c>
      <c r="B1118" s="0" t="s">
        <v>1954</v>
      </c>
      <c r="D1118" s="46" t="n">
        <v>46157</v>
      </c>
      <c r="E1118" s="47" t="s">
        <v>53</v>
      </c>
      <c r="F1118" s="48" t="n">
        <v>413.91</v>
      </c>
      <c r="G1118" s="47" t="s">
        <v>57</v>
      </c>
      <c r="H1118" s="47" t="s">
        <v>42</v>
      </c>
      <c r="I1118" s="47" t="s">
        <v>137</v>
      </c>
      <c r="J1118" s="47" t="s">
        <v>28</v>
      </c>
      <c r="K1118" s="47" t="s">
        <v>33</v>
      </c>
    </row>
    <row r="1119" customFormat="false" ht="15" hidden="false" customHeight="false" outlineLevel="0" collapsed="false">
      <c r="A1119" s="0" t="s">
        <v>1955</v>
      </c>
      <c r="B1119" s="0" t="s">
        <v>362</v>
      </c>
      <c r="D1119" s="46" t="n">
        <v>45892</v>
      </c>
      <c r="E1119" s="47" t="s">
        <v>60</v>
      </c>
      <c r="F1119" s="48" t="n">
        <v>145181.16</v>
      </c>
      <c r="G1119" s="47" t="s">
        <v>53</v>
      </c>
      <c r="H1119" s="47" t="s">
        <v>41</v>
      </c>
      <c r="I1119" s="47" t="s">
        <v>293</v>
      </c>
      <c r="J1119" s="47" t="s">
        <v>28</v>
      </c>
      <c r="K1119" s="47" t="s">
        <v>33</v>
      </c>
    </row>
    <row r="1120" customFormat="false" ht="15" hidden="false" customHeight="false" outlineLevel="0" collapsed="false">
      <c r="A1120" s="0" t="s">
        <v>1956</v>
      </c>
      <c r="B1120" s="0" t="s">
        <v>1957</v>
      </c>
      <c r="D1120" s="46" t="n">
        <v>45949</v>
      </c>
      <c r="E1120" s="47" t="s">
        <v>59</v>
      </c>
      <c r="F1120" s="48" t="n">
        <v>16386.49</v>
      </c>
      <c r="G1120" s="47" t="s">
        <v>68</v>
      </c>
      <c r="H1120" s="47" t="s">
        <v>48</v>
      </c>
      <c r="I1120" s="47" t="s">
        <v>111</v>
      </c>
      <c r="J1120" s="47" t="s">
        <v>28</v>
      </c>
      <c r="K1120" s="47" t="s">
        <v>34</v>
      </c>
    </row>
    <row r="1121" customFormat="false" ht="15" hidden="false" customHeight="false" outlineLevel="0" collapsed="false">
      <c r="A1121" s="0" t="s">
        <v>1958</v>
      </c>
      <c r="B1121" s="0" t="s">
        <v>828</v>
      </c>
      <c r="D1121" s="46" t="n">
        <v>46285</v>
      </c>
      <c r="E1121" s="47" t="s">
        <v>60</v>
      </c>
      <c r="F1121" s="48" t="n">
        <v>1476.9</v>
      </c>
      <c r="G1121" s="47" t="s">
        <v>57</v>
      </c>
      <c r="H1121" s="47" t="s">
        <v>45</v>
      </c>
      <c r="I1121" s="47" t="s">
        <v>217</v>
      </c>
      <c r="J1121" s="47" t="s">
        <v>28</v>
      </c>
      <c r="K1121" s="47" t="s">
        <v>33</v>
      </c>
    </row>
    <row r="1122" customFormat="false" ht="15" hidden="false" customHeight="false" outlineLevel="0" collapsed="false">
      <c r="A1122" s="0" t="s">
        <v>1959</v>
      </c>
      <c r="B1122" s="0" t="s">
        <v>1960</v>
      </c>
      <c r="D1122" s="46" t="n">
        <v>46255</v>
      </c>
      <c r="E1122" s="47" t="s">
        <v>58</v>
      </c>
      <c r="F1122" s="48" t="n">
        <v>106655.14</v>
      </c>
      <c r="G1122" s="47" t="s">
        <v>65</v>
      </c>
      <c r="H1122" s="47" t="s">
        <v>43</v>
      </c>
      <c r="I1122" s="47" t="s">
        <v>117</v>
      </c>
      <c r="J1122" s="47" t="s">
        <v>29</v>
      </c>
      <c r="K1122" s="47" t="s">
        <v>33</v>
      </c>
    </row>
    <row r="1123" customFormat="false" ht="15" hidden="false" customHeight="false" outlineLevel="0" collapsed="false">
      <c r="A1123" s="0" t="s">
        <v>1961</v>
      </c>
      <c r="B1123" s="0" t="s">
        <v>1962</v>
      </c>
      <c r="D1123" s="46" t="n">
        <v>46055</v>
      </c>
      <c r="E1123" s="47" t="s">
        <v>53</v>
      </c>
      <c r="F1123" s="48" t="n">
        <v>11635.36</v>
      </c>
      <c r="G1123" s="47" t="s">
        <v>57</v>
      </c>
      <c r="H1123" s="47" t="s">
        <v>43</v>
      </c>
      <c r="I1123" s="47" t="s">
        <v>117</v>
      </c>
      <c r="J1123" s="47" t="s">
        <v>28</v>
      </c>
      <c r="K1123" s="47" t="s">
        <v>34</v>
      </c>
    </row>
    <row r="1124" customFormat="false" ht="15" hidden="false" customHeight="false" outlineLevel="0" collapsed="false">
      <c r="A1124" s="0" t="s">
        <v>1963</v>
      </c>
      <c r="B1124" s="0" t="s">
        <v>987</v>
      </c>
      <c r="D1124" s="46" t="n">
        <v>46202</v>
      </c>
      <c r="E1124" s="47" t="s">
        <v>60</v>
      </c>
      <c r="F1124" s="48" t="n">
        <v>167745.66</v>
      </c>
      <c r="G1124" s="47" t="s">
        <v>66</v>
      </c>
      <c r="H1124" s="47" t="s">
        <v>43</v>
      </c>
      <c r="I1124" s="47" t="s">
        <v>201</v>
      </c>
      <c r="J1124" s="47" t="s">
        <v>28</v>
      </c>
      <c r="K1124" s="47" t="s">
        <v>34</v>
      </c>
    </row>
    <row r="1125" customFormat="false" ht="15" hidden="false" customHeight="false" outlineLevel="0" collapsed="false">
      <c r="A1125" s="0" t="s">
        <v>1964</v>
      </c>
      <c r="B1125" s="0" t="s">
        <v>489</v>
      </c>
      <c r="D1125" s="46" t="n">
        <v>46278</v>
      </c>
      <c r="E1125" s="47" t="s">
        <v>61</v>
      </c>
      <c r="F1125" s="48" t="n">
        <v>42947.08</v>
      </c>
      <c r="G1125" s="47" t="s">
        <v>68</v>
      </c>
      <c r="H1125" s="47" t="s">
        <v>41</v>
      </c>
      <c r="I1125" s="47" t="s">
        <v>272</v>
      </c>
      <c r="J1125" s="47" t="s">
        <v>28</v>
      </c>
      <c r="K1125" s="47" t="s">
        <v>34</v>
      </c>
    </row>
    <row r="1126" customFormat="false" ht="15" hidden="false" customHeight="false" outlineLevel="0" collapsed="false">
      <c r="A1126" s="0" t="s">
        <v>1965</v>
      </c>
      <c r="B1126" s="0" t="s">
        <v>1661</v>
      </c>
      <c r="D1126" s="46" t="n">
        <v>45809</v>
      </c>
      <c r="E1126" s="47" t="s">
        <v>62</v>
      </c>
      <c r="F1126" s="48" t="n">
        <v>31417.12</v>
      </c>
      <c r="G1126" s="47" t="s">
        <v>53</v>
      </c>
      <c r="H1126" s="47" t="s">
        <v>44</v>
      </c>
      <c r="I1126" s="47" t="s">
        <v>226</v>
      </c>
      <c r="J1126" s="47" t="s">
        <v>28</v>
      </c>
      <c r="K1126" s="47" t="s">
        <v>33</v>
      </c>
    </row>
    <row r="1127" customFormat="false" ht="15" hidden="false" customHeight="false" outlineLevel="0" collapsed="false">
      <c r="A1127" s="0" t="s">
        <v>1966</v>
      </c>
      <c r="B1127" s="0" t="s">
        <v>1967</v>
      </c>
      <c r="D1127" s="46" t="n">
        <v>46131</v>
      </c>
      <c r="E1127" s="47" t="s">
        <v>62</v>
      </c>
      <c r="F1127" s="48" t="n">
        <v>183751.42</v>
      </c>
      <c r="G1127" s="47" t="s">
        <v>57</v>
      </c>
      <c r="H1127" s="47" t="s">
        <v>47</v>
      </c>
      <c r="I1127" s="47" t="s">
        <v>245</v>
      </c>
      <c r="J1127" s="47" t="s">
        <v>28</v>
      </c>
      <c r="K1127" s="47" t="s">
        <v>34</v>
      </c>
    </row>
    <row r="1128" customFormat="false" ht="15" hidden="false" customHeight="false" outlineLevel="0" collapsed="false">
      <c r="A1128" s="0" t="s">
        <v>1968</v>
      </c>
      <c r="B1128" s="0" t="s">
        <v>1969</v>
      </c>
      <c r="D1128" s="46" t="n">
        <v>45984</v>
      </c>
      <c r="E1128" s="47" t="s">
        <v>62</v>
      </c>
      <c r="F1128" s="48" t="n">
        <v>137387.3</v>
      </c>
      <c r="G1128" s="47" t="s">
        <v>66</v>
      </c>
      <c r="H1128" s="47" t="s">
        <v>43</v>
      </c>
      <c r="I1128" s="47" t="s">
        <v>201</v>
      </c>
      <c r="J1128" s="47" t="s">
        <v>28</v>
      </c>
      <c r="K1128" s="47" t="s">
        <v>33</v>
      </c>
    </row>
    <row r="1129" customFormat="false" ht="15" hidden="false" customHeight="false" outlineLevel="0" collapsed="false">
      <c r="A1129" s="0" t="s">
        <v>1970</v>
      </c>
      <c r="B1129" s="0" t="s">
        <v>701</v>
      </c>
      <c r="D1129" s="46" t="n">
        <v>45708</v>
      </c>
      <c r="E1129" s="47" t="s">
        <v>59</v>
      </c>
      <c r="F1129" s="48" t="n">
        <v>73488.8</v>
      </c>
      <c r="G1129" s="47" t="s">
        <v>65</v>
      </c>
      <c r="H1129" s="47" t="s">
        <v>41</v>
      </c>
      <c r="I1129" s="47" t="s">
        <v>86</v>
      </c>
      <c r="J1129" s="47" t="s">
        <v>28</v>
      </c>
      <c r="K1129" s="47" t="s">
        <v>34</v>
      </c>
    </row>
    <row r="1130" customFormat="false" ht="15" hidden="false" customHeight="false" outlineLevel="0" collapsed="false">
      <c r="A1130" s="0" t="s">
        <v>1971</v>
      </c>
      <c r="B1130" s="0" t="s">
        <v>197</v>
      </c>
      <c r="D1130" s="46" t="n">
        <v>45937</v>
      </c>
      <c r="E1130" s="47" t="s">
        <v>61</v>
      </c>
      <c r="F1130" s="48" t="n">
        <v>29885.26</v>
      </c>
      <c r="G1130" s="47" t="s">
        <v>68</v>
      </c>
      <c r="H1130" s="47" t="s">
        <v>44</v>
      </c>
      <c r="I1130" s="47" t="s">
        <v>80</v>
      </c>
      <c r="J1130" s="47" t="s">
        <v>29</v>
      </c>
      <c r="K1130" s="47" t="s">
        <v>34</v>
      </c>
    </row>
    <row r="1131" customFormat="false" ht="15" hidden="false" customHeight="false" outlineLevel="0" collapsed="false">
      <c r="A1131" s="0" t="s">
        <v>1972</v>
      </c>
      <c r="B1131" s="0" t="s">
        <v>629</v>
      </c>
      <c r="D1131" s="46" t="n">
        <v>45950</v>
      </c>
      <c r="E1131" s="47" t="s">
        <v>62</v>
      </c>
      <c r="F1131" s="48" t="n">
        <v>148277.68</v>
      </c>
      <c r="G1131" s="47" t="s">
        <v>66</v>
      </c>
      <c r="H1131" s="47" t="s">
        <v>41</v>
      </c>
      <c r="I1131" s="47" t="s">
        <v>293</v>
      </c>
      <c r="J1131" s="47" t="s">
        <v>28</v>
      </c>
      <c r="K1131" s="47" t="s">
        <v>34</v>
      </c>
    </row>
    <row r="1132" customFormat="false" ht="15" hidden="false" customHeight="false" outlineLevel="0" collapsed="false">
      <c r="A1132" s="0" t="s">
        <v>1973</v>
      </c>
      <c r="B1132" s="0" t="s">
        <v>923</v>
      </c>
      <c r="D1132" s="46" t="n">
        <v>45972</v>
      </c>
      <c r="E1132" s="47" t="s">
        <v>53</v>
      </c>
      <c r="F1132" s="48" t="n">
        <v>23925.09</v>
      </c>
      <c r="G1132" s="47" t="s">
        <v>68</v>
      </c>
      <c r="H1132" s="47" t="s">
        <v>42</v>
      </c>
      <c r="I1132" s="47" t="s">
        <v>105</v>
      </c>
      <c r="J1132" s="47" t="s">
        <v>28</v>
      </c>
      <c r="K1132" s="47" t="s">
        <v>33</v>
      </c>
    </row>
    <row r="1133" customFormat="false" ht="15" hidden="false" customHeight="false" outlineLevel="0" collapsed="false">
      <c r="A1133" s="0" t="s">
        <v>1974</v>
      </c>
      <c r="B1133" s="0" t="s">
        <v>423</v>
      </c>
      <c r="D1133" s="46" t="n">
        <v>45723</v>
      </c>
      <c r="E1133" s="47" t="s">
        <v>60</v>
      </c>
      <c r="F1133" s="48" t="n">
        <v>105020.66</v>
      </c>
      <c r="G1133" s="47" t="s">
        <v>66</v>
      </c>
      <c r="H1133" s="47" t="s">
        <v>47</v>
      </c>
      <c r="I1133" s="47" t="s">
        <v>108</v>
      </c>
      <c r="J1133" s="47" t="s">
        <v>28</v>
      </c>
      <c r="K1133" s="47" t="s">
        <v>33</v>
      </c>
    </row>
    <row r="1134" customFormat="false" ht="15" hidden="false" customHeight="false" outlineLevel="0" collapsed="false">
      <c r="A1134" s="0" t="s">
        <v>1975</v>
      </c>
      <c r="B1134" s="0" t="s">
        <v>515</v>
      </c>
      <c r="D1134" s="46" t="n">
        <v>45722</v>
      </c>
      <c r="E1134" s="47" t="s">
        <v>53</v>
      </c>
      <c r="F1134" s="48" t="n">
        <v>126331.86</v>
      </c>
      <c r="G1134" s="47" t="s">
        <v>65</v>
      </c>
      <c r="H1134" s="47" t="s">
        <v>45</v>
      </c>
      <c r="I1134" s="47" t="s">
        <v>95</v>
      </c>
      <c r="J1134" s="47" t="s">
        <v>28</v>
      </c>
      <c r="K1134" s="47" t="s">
        <v>33</v>
      </c>
    </row>
    <row r="1135" customFormat="false" ht="15" hidden="false" customHeight="false" outlineLevel="0" collapsed="false">
      <c r="A1135" s="0" t="s">
        <v>1976</v>
      </c>
      <c r="B1135" s="0" t="s">
        <v>1054</v>
      </c>
      <c r="D1135" s="46" t="n">
        <v>46236</v>
      </c>
      <c r="E1135" s="47" t="s">
        <v>59</v>
      </c>
      <c r="F1135" s="48" t="n">
        <v>165538.36</v>
      </c>
      <c r="G1135" s="47" t="s">
        <v>53</v>
      </c>
      <c r="H1135" s="47" t="s">
        <v>39</v>
      </c>
      <c r="I1135" s="47" t="s">
        <v>145</v>
      </c>
      <c r="J1135" s="47" t="s">
        <v>28</v>
      </c>
      <c r="K1135" s="47" t="s">
        <v>33</v>
      </c>
    </row>
    <row r="1136" customFormat="false" ht="15" hidden="false" customHeight="false" outlineLevel="0" collapsed="false">
      <c r="A1136" s="0" t="s">
        <v>1977</v>
      </c>
      <c r="B1136" s="0" t="s">
        <v>131</v>
      </c>
      <c r="D1136" s="46" t="n">
        <v>45945</v>
      </c>
      <c r="E1136" s="47" t="s">
        <v>59</v>
      </c>
      <c r="F1136" s="48" t="n">
        <v>13933.49</v>
      </c>
      <c r="G1136" s="47" t="s">
        <v>65</v>
      </c>
      <c r="H1136" s="47" t="s">
        <v>44</v>
      </c>
      <c r="I1136" s="47" t="s">
        <v>132</v>
      </c>
      <c r="J1136" s="47" t="s">
        <v>28</v>
      </c>
      <c r="K1136" s="47" t="s">
        <v>34</v>
      </c>
    </row>
    <row r="1137" customFormat="false" ht="15" hidden="false" customHeight="false" outlineLevel="0" collapsed="false">
      <c r="A1137" s="0" t="s">
        <v>1978</v>
      </c>
      <c r="B1137" s="0" t="s">
        <v>1979</v>
      </c>
      <c r="D1137" s="46" t="n">
        <v>45744</v>
      </c>
      <c r="E1137" s="47" t="s">
        <v>61</v>
      </c>
      <c r="F1137" s="48" t="n">
        <v>32011.88</v>
      </c>
      <c r="G1137" s="47" t="s">
        <v>66</v>
      </c>
      <c r="H1137" s="47" t="s">
        <v>48</v>
      </c>
      <c r="I1137" s="47" t="s">
        <v>111</v>
      </c>
      <c r="J1137" s="47" t="s">
        <v>28</v>
      </c>
      <c r="K1137" s="47" t="s">
        <v>33</v>
      </c>
    </row>
    <row r="1138" customFormat="false" ht="15" hidden="false" customHeight="false" outlineLevel="0" collapsed="false">
      <c r="A1138" s="0" t="s">
        <v>1980</v>
      </c>
      <c r="B1138" s="0" t="s">
        <v>1335</v>
      </c>
      <c r="D1138" s="46" t="n">
        <v>45824</v>
      </c>
      <c r="E1138" s="47" t="s">
        <v>61</v>
      </c>
      <c r="F1138" s="48" t="n">
        <v>51481.95</v>
      </c>
      <c r="G1138" s="47" t="s">
        <v>66</v>
      </c>
      <c r="H1138" s="47" t="s">
        <v>42</v>
      </c>
      <c r="I1138" s="47" t="s">
        <v>137</v>
      </c>
      <c r="J1138" s="47" t="s">
        <v>28</v>
      </c>
      <c r="K1138" s="47" t="s">
        <v>34</v>
      </c>
    </row>
    <row r="1139" customFormat="false" ht="15" hidden="false" customHeight="false" outlineLevel="0" collapsed="false">
      <c r="A1139" s="0" t="s">
        <v>1981</v>
      </c>
      <c r="B1139" s="0" t="s">
        <v>1982</v>
      </c>
      <c r="D1139" s="46" t="n">
        <v>45730</v>
      </c>
      <c r="E1139" s="47" t="s">
        <v>59</v>
      </c>
      <c r="F1139" s="48" t="n">
        <v>121576.61</v>
      </c>
      <c r="G1139" s="47" t="s">
        <v>53</v>
      </c>
      <c r="H1139" s="47" t="s">
        <v>47</v>
      </c>
      <c r="I1139" s="47" t="s">
        <v>108</v>
      </c>
      <c r="J1139" s="47" t="s">
        <v>28</v>
      </c>
      <c r="K1139" s="47" t="s">
        <v>34</v>
      </c>
    </row>
    <row r="1140" customFormat="false" ht="15" hidden="false" customHeight="false" outlineLevel="0" collapsed="false">
      <c r="A1140" s="0" t="s">
        <v>1983</v>
      </c>
      <c r="B1140" s="0" t="s">
        <v>1984</v>
      </c>
      <c r="D1140" s="46" t="n">
        <v>45944</v>
      </c>
      <c r="E1140" s="47" t="s">
        <v>53</v>
      </c>
      <c r="F1140" s="48" t="n">
        <v>93400.71</v>
      </c>
      <c r="G1140" s="47" t="s">
        <v>68</v>
      </c>
      <c r="H1140" s="47" t="s">
        <v>47</v>
      </c>
      <c r="I1140" s="47" t="s">
        <v>166</v>
      </c>
      <c r="J1140" s="47" t="s">
        <v>28</v>
      </c>
      <c r="K1140" s="47" t="s">
        <v>34</v>
      </c>
    </row>
    <row r="1141" customFormat="false" ht="15" hidden="false" customHeight="false" outlineLevel="0" collapsed="false">
      <c r="A1141" s="0" t="s">
        <v>1985</v>
      </c>
      <c r="B1141" s="0" t="s">
        <v>1986</v>
      </c>
      <c r="D1141" s="46" t="n">
        <v>45867</v>
      </c>
      <c r="E1141" s="47" t="s">
        <v>59</v>
      </c>
      <c r="F1141" s="48" t="n">
        <v>39328.89</v>
      </c>
      <c r="G1141" s="47" t="s">
        <v>57</v>
      </c>
      <c r="H1141" s="47" t="s">
        <v>48</v>
      </c>
      <c r="I1141" s="47" t="s">
        <v>111</v>
      </c>
      <c r="J1141" s="47" t="s">
        <v>28</v>
      </c>
      <c r="K1141" s="47" t="s">
        <v>34</v>
      </c>
    </row>
    <row r="1142" customFormat="false" ht="15" hidden="false" customHeight="false" outlineLevel="0" collapsed="false">
      <c r="A1142" s="0" t="s">
        <v>1987</v>
      </c>
      <c r="B1142" s="0" t="s">
        <v>735</v>
      </c>
      <c r="D1142" s="46" t="n">
        <v>45814</v>
      </c>
      <c r="E1142" s="47" t="s">
        <v>62</v>
      </c>
      <c r="F1142" s="48" t="n">
        <v>17397.46</v>
      </c>
      <c r="G1142" s="47" t="s">
        <v>65</v>
      </c>
      <c r="H1142" s="47" t="s">
        <v>41</v>
      </c>
      <c r="I1142" s="47" t="s">
        <v>293</v>
      </c>
      <c r="J1142" s="47" t="s">
        <v>28</v>
      </c>
      <c r="K1142" s="47" t="s">
        <v>33</v>
      </c>
    </row>
    <row r="1143" customFormat="false" ht="15" hidden="false" customHeight="false" outlineLevel="0" collapsed="false">
      <c r="A1143" s="0" t="s">
        <v>1988</v>
      </c>
      <c r="B1143" s="0" t="s">
        <v>127</v>
      </c>
      <c r="D1143" s="46" t="n">
        <v>46244</v>
      </c>
      <c r="E1143" s="47" t="s">
        <v>61</v>
      </c>
      <c r="F1143" s="48" t="n">
        <v>113830.26</v>
      </c>
      <c r="G1143" s="47" t="s">
        <v>57</v>
      </c>
      <c r="H1143" s="47" t="s">
        <v>39</v>
      </c>
      <c r="I1143" s="47" t="s">
        <v>98</v>
      </c>
      <c r="J1143" s="47" t="s">
        <v>28</v>
      </c>
      <c r="K1143" s="47" t="s">
        <v>34</v>
      </c>
    </row>
    <row r="1144" customFormat="false" ht="15" hidden="false" customHeight="false" outlineLevel="0" collapsed="false">
      <c r="A1144" s="0" t="s">
        <v>1989</v>
      </c>
      <c r="B1144" s="0" t="s">
        <v>1990</v>
      </c>
      <c r="D1144" s="46" t="n">
        <v>46233</v>
      </c>
      <c r="E1144" s="47" t="s">
        <v>55</v>
      </c>
      <c r="F1144" s="48" t="n">
        <v>186960.13</v>
      </c>
      <c r="G1144" s="47" t="s">
        <v>53</v>
      </c>
      <c r="H1144" s="47" t="s">
        <v>43</v>
      </c>
      <c r="I1144" s="47" t="s">
        <v>201</v>
      </c>
      <c r="J1144" s="47" t="s">
        <v>28</v>
      </c>
      <c r="K1144" s="47" t="s">
        <v>33</v>
      </c>
    </row>
    <row r="1145" customFormat="false" ht="15" hidden="false" customHeight="false" outlineLevel="0" collapsed="false">
      <c r="A1145" s="0" t="s">
        <v>1991</v>
      </c>
      <c r="B1145" s="0" t="s">
        <v>1992</v>
      </c>
      <c r="D1145" s="46" t="n">
        <v>45984</v>
      </c>
      <c r="E1145" s="47" t="s">
        <v>53</v>
      </c>
      <c r="F1145" s="48" t="n">
        <v>37438.02</v>
      </c>
      <c r="G1145" s="47" t="s">
        <v>66</v>
      </c>
      <c r="H1145" s="47" t="s">
        <v>45</v>
      </c>
      <c r="I1145" s="47" t="s">
        <v>151</v>
      </c>
      <c r="J1145" s="47" t="s">
        <v>28</v>
      </c>
      <c r="K1145" s="47" t="s">
        <v>33</v>
      </c>
    </row>
    <row r="1146" customFormat="false" ht="15" hidden="false" customHeight="false" outlineLevel="0" collapsed="false">
      <c r="A1146" s="0" t="s">
        <v>1993</v>
      </c>
      <c r="B1146" s="0" t="s">
        <v>1070</v>
      </c>
      <c r="D1146" s="46" t="n">
        <v>45797</v>
      </c>
      <c r="E1146" s="47" t="s">
        <v>62</v>
      </c>
      <c r="F1146" s="48" t="n">
        <v>29849.9</v>
      </c>
      <c r="G1146" s="47" t="s">
        <v>66</v>
      </c>
      <c r="H1146" s="47" t="s">
        <v>47</v>
      </c>
      <c r="I1146" s="47" t="s">
        <v>166</v>
      </c>
      <c r="J1146" s="47" t="s">
        <v>28</v>
      </c>
      <c r="K1146" s="47" t="s">
        <v>33</v>
      </c>
    </row>
    <row r="1147" customFormat="false" ht="15" hidden="false" customHeight="false" outlineLevel="0" collapsed="false">
      <c r="A1147" s="0" t="s">
        <v>1994</v>
      </c>
      <c r="B1147" s="0" t="s">
        <v>656</v>
      </c>
      <c r="D1147" s="46" t="n">
        <v>45813</v>
      </c>
      <c r="E1147" s="47" t="s">
        <v>60</v>
      </c>
      <c r="F1147" s="48" t="n">
        <v>166504.01</v>
      </c>
      <c r="G1147" s="47" t="s">
        <v>68</v>
      </c>
      <c r="H1147" s="47" t="s">
        <v>45</v>
      </c>
      <c r="I1147" s="47" t="s">
        <v>151</v>
      </c>
      <c r="J1147" s="47" t="s">
        <v>30</v>
      </c>
      <c r="K1147" s="47" t="s">
        <v>34</v>
      </c>
    </row>
    <row r="1148" customFormat="false" ht="15" hidden="false" customHeight="false" outlineLevel="0" collapsed="false">
      <c r="A1148" s="0" t="s">
        <v>1995</v>
      </c>
      <c r="B1148" s="0" t="s">
        <v>1684</v>
      </c>
      <c r="D1148" s="46" t="n">
        <v>45858</v>
      </c>
      <c r="E1148" s="47" t="s">
        <v>62</v>
      </c>
      <c r="F1148" s="48" t="n">
        <v>184846.1</v>
      </c>
      <c r="G1148" s="47" t="s">
        <v>66</v>
      </c>
      <c r="H1148" s="47" t="s">
        <v>43</v>
      </c>
      <c r="I1148" s="47" t="s">
        <v>117</v>
      </c>
      <c r="J1148" s="47" t="s">
        <v>28</v>
      </c>
      <c r="K1148" s="47" t="s">
        <v>33</v>
      </c>
    </row>
    <row r="1149" customFormat="false" ht="15" hidden="false" customHeight="false" outlineLevel="0" collapsed="false">
      <c r="A1149" s="0" t="s">
        <v>1996</v>
      </c>
      <c r="B1149" s="0" t="s">
        <v>669</v>
      </c>
      <c r="D1149" s="46" t="n">
        <v>46239</v>
      </c>
      <c r="E1149" s="47" t="s">
        <v>53</v>
      </c>
      <c r="F1149" s="48" t="n">
        <v>191871.63</v>
      </c>
      <c r="G1149" s="47" t="s">
        <v>65</v>
      </c>
      <c r="H1149" s="47" t="s">
        <v>40</v>
      </c>
      <c r="I1149" s="47" t="s">
        <v>83</v>
      </c>
      <c r="J1149" s="47" t="s">
        <v>28</v>
      </c>
      <c r="K1149" s="47" t="s">
        <v>34</v>
      </c>
    </row>
    <row r="1150" customFormat="false" ht="15" hidden="false" customHeight="false" outlineLevel="0" collapsed="false">
      <c r="A1150" s="0" t="s">
        <v>1997</v>
      </c>
      <c r="B1150" s="0" t="s">
        <v>621</v>
      </c>
      <c r="D1150" s="46" t="n">
        <v>46089</v>
      </c>
      <c r="E1150" s="47" t="s">
        <v>60</v>
      </c>
      <c r="F1150" s="48" t="n">
        <v>68786.21</v>
      </c>
      <c r="G1150" s="47" t="s">
        <v>68</v>
      </c>
      <c r="H1150" s="47" t="s">
        <v>44</v>
      </c>
      <c r="I1150" s="47" t="s">
        <v>226</v>
      </c>
      <c r="J1150" s="47" t="s">
        <v>28</v>
      </c>
      <c r="K1150" s="47" t="s">
        <v>34</v>
      </c>
    </row>
    <row r="1151" customFormat="false" ht="15" hidden="false" customHeight="false" outlineLevel="0" collapsed="false">
      <c r="A1151" s="0" t="s">
        <v>1998</v>
      </c>
      <c r="B1151" s="0" t="s">
        <v>987</v>
      </c>
      <c r="D1151" s="46" t="n">
        <v>45714</v>
      </c>
      <c r="E1151" s="47" t="s">
        <v>53</v>
      </c>
      <c r="F1151" s="48" t="n">
        <v>5967.27</v>
      </c>
      <c r="G1151" s="47" t="s">
        <v>65</v>
      </c>
      <c r="H1151" s="47" t="s">
        <v>43</v>
      </c>
      <c r="I1151" s="47" t="s">
        <v>201</v>
      </c>
      <c r="J1151" s="47" t="s">
        <v>28</v>
      </c>
      <c r="K1151" s="47" t="s">
        <v>34</v>
      </c>
    </row>
    <row r="1152" customFormat="false" ht="15" hidden="false" customHeight="false" outlineLevel="0" collapsed="false">
      <c r="A1152" s="0" t="s">
        <v>1999</v>
      </c>
      <c r="B1152" s="0" t="s">
        <v>690</v>
      </c>
      <c r="D1152" s="46" t="n">
        <v>46250</v>
      </c>
      <c r="E1152" s="47" t="s">
        <v>59</v>
      </c>
      <c r="F1152" s="48" t="n">
        <v>81018.78</v>
      </c>
      <c r="G1152" s="47" t="s">
        <v>65</v>
      </c>
      <c r="H1152" s="47" t="s">
        <v>43</v>
      </c>
      <c r="I1152" s="47" t="s">
        <v>201</v>
      </c>
      <c r="J1152" s="47" t="s">
        <v>28</v>
      </c>
      <c r="K1152" s="47" t="s">
        <v>33</v>
      </c>
    </row>
    <row r="1153" customFormat="false" ht="15" hidden="false" customHeight="false" outlineLevel="0" collapsed="false">
      <c r="A1153" s="0" t="s">
        <v>2000</v>
      </c>
      <c r="B1153" s="0" t="s">
        <v>730</v>
      </c>
      <c r="D1153" s="46" t="n">
        <v>45779</v>
      </c>
      <c r="E1153" s="47" t="s">
        <v>53</v>
      </c>
      <c r="F1153" s="48" t="n">
        <v>134156.56</v>
      </c>
      <c r="G1153" s="47" t="s">
        <v>68</v>
      </c>
      <c r="H1153" s="47" t="s">
        <v>48</v>
      </c>
      <c r="I1153" s="47" t="s">
        <v>114</v>
      </c>
      <c r="J1153" s="47" t="s">
        <v>28</v>
      </c>
      <c r="K1153" s="47" t="s">
        <v>33</v>
      </c>
    </row>
    <row r="1154" customFormat="false" ht="15" hidden="false" customHeight="false" outlineLevel="0" collapsed="false">
      <c r="A1154" s="0" t="s">
        <v>2001</v>
      </c>
      <c r="B1154" s="0" t="s">
        <v>205</v>
      </c>
      <c r="D1154" s="46" t="n">
        <v>46013</v>
      </c>
      <c r="E1154" s="47" t="s">
        <v>58</v>
      </c>
      <c r="F1154" s="48" t="n">
        <v>87556.89</v>
      </c>
      <c r="G1154" s="47" t="s">
        <v>65</v>
      </c>
      <c r="H1154" s="47" t="s">
        <v>40</v>
      </c>
      <c r="I1154" s="47" t="s">
        <v>89</v>
      </c>
      <c r="J1154" s="47" t="s">
        <v>28</v>
      </c>
      <c r="K1154" s="47" t="s">
        <v>33</v>
      </c>
    </row>
    <row r="1155" customFormat="false" ht="15" hidden="false" customHeight="false" outlineLevel="0" collapsed="false">
      <c r="A1155" s="0" t="s">
        <v>2002</v>
      </c>
      <c r="B1155" s="0" t="s">
        <v>2003</v>
      </c>
      <c r="D1155" s="46" t="n">
        <v>46162</v>
      </c>
      <c r="E1155" s="47" t="s">
        <v>60</v>
      </c>
      <c r="F1155" s="48" t="n">
        <v>51211.74</v>
      </c>
      <c r="G1155" s="47" t="s">
        <v>68</v>
      </c>
      <c r="H1155" s="47" t="s">
        <v>40</v>
      </c>
      <c r="I1155" s="47" t="s">
        <v>83</v>
      </c>
      <c r="J1155" s="47" t="s">
        <v>28</v>
      </c>
      <c r="K1155" s="47" t="s">
        <v>34</v>
      </c>
    </row>
    <row r="1156" customFormat="false" ht="15" hidden="false" customHeight="false" outlineLevel="0" collapsed="false">
      <c r="A1156" s="0" t="s">
        <v>2004</v>
      </c>
      <c r="B1156" s="0" t="s">
        <v>494</v>
      </c>
      <c r="C1156" s="0" t="s">
        <v>2005</v>
      </c>
      <c r="D1156" s="46" t="n">
        <v>46277</v>
      </c>
      <c r="E1156" s="47" t="s">
        <v>58</v>
      </c>
      <c r="F1156" s="48" t="n">
        <v>110729.9</v>
      </c>
      <c r="G1156" s="47" t="s">
        <v>68</v>
      </c>
      <c r="H1156" s="47" t="s">
        <v>39</v>
      </c>
      <c r="I1156" s="47" t="s">
        <v>145</v>
      </c>
      <c r="J1156" s="47" t="s">
        <v>28</v>
      </c>
      <c r="K1156" s="47" t="s">
        <v>34</v>
      </c>
    </row>
    <row r="1157" customFormat="false" ht="15" hidden="false" customHeight="false" outlineLevel="0" collapsed="false">
      <c r="A1157" s="0" t="s">
        <v>2006</v>
      </c>
      <c r="B1157" s="0" t="s">
        <v>2007</v>
      </c>
      <c r="D1157" s="46" t="n">
        <v>45973</v>
      </c>
      <c r="E1157" s="47" t="s">
        <v>53</v>
      </c>
      <c r="F1157" s="48" t="n">
        <v>9314.36</v>
      </c>
      <c r="G1157" s="47" t="s">
        <v>53</v>
      </c>
      <c r="H1157" s="47" t="s">
        <v>47</v>
      </c>
      <c r="I1157" s="47" t="s">
        <v>245</v>
      </c>
      <c r="J1157" s="47" t="s">
        <v>28</v>
      </c>
      <c r="K1157" s="47" t="s">
        <v>33</v>
      </c>
    </row>
    <row r="1158" customFormat="false" ht="15" hidden="false" customHeight="false" outlineLevel="0" collapsed="false">
      <c r="A1158" s="0" t="s">
        <v>2008</v>
      </c>
      <c r="B1158" s="0" t="s">
        <v>527</v>
      </c>
      <c r="D1158" s="46" t="n">
        <v>45964</v>
      </c>
      <c r="E1158" s="47" t="s">
        <v>61</v>
      </c>
      <c r="F1158" s="48" t="n">
        <v>10426.29</v>
      </c>
      <c r="G1158" s="47" t="s">
        <v>66</v>
      </c>
      <c r="H1158" s="47" t="s">
        <v>47</v>
      </c>
      <c r="I1158" s="47" t="s">
        <v>245</v>
      </c>
      <c r="J1158" s="47" t="s">
        <v>28</v>
      </c>
      <c r="K1158" s="47" t="s">
        <v>34</v>
      </c>
    </row>
    <row r="1159" customFormat="false" ht="15" hidden="false" customHeight="false" outlineLevel="0" collapsed="false">
      <c r="A1159" s="0" t="s">
        <v>2009</v>
      </c>
      <c r="B1159" s="0" t="s">
        <v>2010</v>
      </c>
      <c r="D1159" s="46" t="n">
        <v>45660</v>
      </c>
      <c r="E1159" s="47" t="s">
        <v>53</v>
      </c>
      <c r="F1159" s="48" t="n">
        <v>124038.2</v>
      </c>
      <c r="G1159" s="47" t="s">
        <v>53</v>
      </c>
      <c r="H1159" s="47" t="s">
        <v>45</v>
      </c>
      <c r="I1159" s="47" t="s">
        <v>151</v>
      </c>
      <c r="J1159" s="47" t="s">
        <v>28</v>
      </c>
      <c r="K1159" s="47" t="s">
        <v>33</v>
      </c>
    </row>
    <row r="1160" customFormat="false" ht="15" hidden="false" customHeight="false" outlineLevel="0" collapsed="false">
      <c r="A1160" s="0" t="s">
        <v>2011</v>
      </c>
      <c r="B1160" s="0" t="s">
        <v>2012</v>
      </c>
      <c r="D1160" s="46" t="n">
        <v>45667</v>
      </c>
      <c r="E1160" s="47" t="s">
        <v>55</v>
      </c>
      <c r="F1160" s="48" t="n">
        <v>48316.18</v>
      </c>
      <c r="G1160" s="47" t="s">
        <v>65</v>
      </c>
      <c r="H1160" s="47" t="s">
        <v>41</v>
      </c>
      <c r="I1160" s="47" t="s">
        <v>293</v>
      </c>
      <c r="J1160" s="47" t="s">
        <v>28</v>
      </c>
      <c r="K1160" s="47" t="s">
        <v>33</v>
      </c>
    </row>
    <row r="1161" customFormat="false" ht="15" hidden="false" customHeight="false" outlineLevel="0" collapsed="false">
      <c r="A1161" s="0" t="s">
        <v>2013</v>
      </c>
      <c r="B1161" s="0" t="s">
        <v>564</v>
      </c>
      <c r="D1161" s="46" t="n">
        <v>46127</v>
      </c>
      <c r="E1161" s="47" t="s">
        <v>58</v>
      </c>
      <c r="F1161" s="48" t="n">
        <v>181980.01</v>
      </c>
      <c r="G1161" s="47" t="s">
        <v>66</v>
      </c>
      <c r="H1161" s="47" t="s">
        <v>47</v>
      </c>
      <c r="I1161" s="47" t="s">
        <v>245</v>
      </c>
      <c r="J1161" s="47" t="s">
        <v>28</v>
      </c>
      <c r="K1161" s="47" t="s">
        <v>33</v>
      </c>
    </row>
    <row r="1162" customFormat="false" ht="15" hidden="false" customHeight="false" outlineLevel="0" collapsed="false">
      <c r="A1162" s="0" t="s">
        <v>2014</v>
      </c>
      <c r="B1162" s="0" t="s">
        <v>603</v>
      </c>
      <c r="D1162" s="46" t="n">
        <v>46248</v>
      </c>
      <c r="E1162" s="47" t="s">
        <v>61</v>
      </c>
      <c r="F1162" s="48" t="n">
        <v>48078.17</v>
      </c>
      <c r="G1162" s="47" t="s">
        <v>57</v>
      </c>
      <c r="H1162" s="47" t="s">
        <v>44</v>
      </c>
      <c r="I1162" s="47" t="s">
        <v>132</v>
      </c>
      <c r="J1162" s="47" t="s">
        <v>28</v>
      </c>
      <c r="K1162" s="47" t="s">
        <v>34</v>
      </c>
    </row>
    <row r="1163" customFormat="false" ht="15" hidden="false" customHeight="false" outlineLevel="0" collapsed="false">
      <c r="A1163" s="0" t="s">
        <v>2015</v>
      </c>
      <c r="B1163" s="0" t="s">
        <v>1270</v>
      </c>
      <c r="D1163" s="46" t="n">
        <v>45795</v>
      </c>
      <c r="E1163" s="47" t="s">
        <v>62</v>
      </c>
      <c r="F1163" s="48" t="n">
        <v>90468.31</v>
      </c>
      <c r="G1163" s="47" t="s">
        <v>68</v>
      </c>
      <c r="H1163" s="47" t="s">
        <v>44</v>
      </c>
      <c r="I1163" s="47" t="s">
        <v>132</v>
      </c>
      <c r="J1163" s="47" t="s">
        <v>28</v>
      </c>
      <c r="K1163" s="47" t="s">
        <v>33</v>
      </c>
    </row>
    <row r="1164" customFormat="false" ht="15" hidden="false" customHeight="false" outlineLevel="0" collapsed="false">
      <c r="A1164" s="0" t="s">
        <v>2016</v>
      </c>
      <c r="B1164" s="0" t="s">
        <v>1619</v>
      </c>
      <c r="D1164" s="46" t="n">
        <v>45815</v>
      </c>
      <c r="E1164" s="47" t="s">
        <v>55</v>
      </c>
      <c r="F1164" s="48" t="n">
        <v>55220.91</v>
      </c>
      <c r="G1164" s="47" t="s">
        <v>66</v>
      </c>
      <c r="H1164" s="47" t="s">
        <v>48</v>
      </c>
      <c r="I1164" s="47" t="s">
        <v>212</v>
      </c>
      <c r="J1164" s="47" t="s">
        <v>28</v>
      </c>
      <c r="K1164" s="47" t="s">
        <v>34</v>
      </c>
    </row>
    <row r="1165" customFormat="false" ht="15" hidden="false" customHeight="false" outlineLevel="0" collapsed="false">
      <c r="A1165" s="0" t="s">
        <v>2017</v>
      </c>
      <c r="B1165" s="0" t="s">
        <v>2018</v>
      </c>
      <c r="D1165" s="46" t="n">
        <v>45788</v>
      </c>
      <c r="E1165" s="47" t="s">
        <v>59</v>
      </c>
      <c r="F1165" s="48" t="n">
        <v>74958.79</v>
      </c>
      <c r="G1165" s="47" t="s">
        <v>53</v>
      </c>
      <c r="H1165" s="47" t="s">
        <v>42</v>
      </c>
      <c r="I1165" s="47" t="s">
        <v>398</v>
      </c>
      <c r="J1165" s="47" t="s">
        <v>28</v>
      </c>
      <c r="K1165" s="47" t="s">
        <v>33</v>
      </c>
    </row>
    <row r="1166" customFormat="false" ht="15" hidden="false" customHeight="false" outlineLevel="0" collapsed="false">
      <c r="A1166" s="0" t="s">
        <v>2019</v>
      </c>
      <c r="B1166" s="0" t="s">
        <v>907</v>
      </c>
      <c r="D1166" s="46" t="n">
        <v>46006</v>
      </c>
      <c r="E1166" s="47" t="s">
        <v>60</v>
      </c>
      <c r="F1166" s="48" t="n">
        <v>157807.94</v>
      </c>
      <c r="G1166" s="47" t="s">
        <v>66</v>
      </c>
      <c r="H1166" s="47" t="s">
        <v>43</v>
      </c>
      <c r="I1166" s="47" t="s">
        <v>102</v>
      </c>
      <c r="J1166" s="47" t="s">
        <v>28</v>
      </c>
      <c r="K1166" s="47" t="s">
        <v>34</v>
      </c>
    </row>
    <row r="1167" customFormat="false" ht="15" hidden="false" customHeight="false" outlineLevel="0" collapsed="false">
      <c r="A1167" s="0" t="s">
        <v>2020</v>
      </c>
      <c r="B1167" s="0" t="s">
        <v>1102</v>
      </c>
      <c r="D1167" s="46" t="n">
        <v>45984</v>
      </c>
      <c r="E1167" s="47" t="s">
        <v>60</v>
      </c>
      <c r="F1167" s="48" t="n">
        <v>103324.9</v>
      </c>
      <c r="G1167" s="47" t="s">
        <v>65</v>
      </c>
      <c r="H1167" s="47" t="s">
        <v>42</v>
      </c>
      <c r="I1167" s="47" t="s">
        <v>105</v>
      </c>
      <c r="J1167" s="47" t="s">
        <v>28</v>
      </c>
      <c r="K1167" s="47" t="s">
        <v>34</v>
      </c>
    </row>
    <row r="1168" customFormat="false" ht="15" hidden="false" customHeight="false" outlineLevel="0" collapsed="false">
      <c r="A1168" s="0" t="s">
        <v>2021</v>
      </c>
      <c r="B1168" s="0" t="s">
        <v>2022</v>
      </c>
      <c r="D1168" s="46" t="n">
        <v>46045</v>
      </c>
      <c r="E1168" s="47" t="s">
        <v>59</v>
      </c>
      <c r="F1168" s="48" t="n">
        <v>190542.39</v>
      </c>
      <c r="G1168" s="47" t="s">
        <v>68</v>
      </c>
      <c r="H1168" s="47" t="s">
        <v>46</v>
      </c>
      <c r="I1168" s="47" t="s">
        <v>121</v>
      </c>
      <c r="J1168" s="47" t="s">
        <v>28</v>
      </c>
      <c r="K1168" s="47" t="s">
        <v>34</v>
      </c>
    </row>
    <row r="1169" customFormat="false" ht="15" hidden="false" customHeight="false" outlineLevel="0" collapsed="false">
      <c r="A1169" s="0" t="s">
        <v>2023</v>
      </c>
      <c r="B1169" s="0" t="s">
        <v>1467</v>
      </c>
      <c r="D1169" s="46" t="n">
        <v>45757</v>
      </c>
      <c r="E1169" s="47" t="s">
        <v>53</v>
      </c>
      <c r="F1169" s="48" t="n">
        <v>66448.66</v>
      </c>
      <c r="G1169" s="47" t="s">
        <v>66</v>
      </c>
      <c r="H1169" s="47" t="s">
        <v>45</v>
      </c>
      <c r="I1169" s="47" t="s">
        <v>151</v>
      </c>
      <c r="J1169" s="47" t="s">
        <v>28</v>
      </c>
      <c r="K1169" s="47" t="s">
        <v>33</v>
      </c>
    </row>
    <row r="1170" customFormat="false" ht="15" hidden="false" customHeight="false" outlineLevel="0" collapsed="false">
      <c r="A1170" s="0" t="s">
        <v>2024</v>
      </c>
      <c r="B1170" s="0" t="s">
        <v>597</v>
      </c>
      <c r="D1170" s="46" t="n">
        <v>45880</v>
      </c>
      <c r="E1170" s="47" t="s">
        <v>53</v>
      </c>
      <c r="F1170" s="48" t="n">
        <v>105880.3</v>
      </c>
      <c r="G1170" s="47" t="s">
        <v>57</v>
      </c>
      <c r="H1170" s="47" t="s">
        <v>39</v>
      </c>
      <c r="I1170" s="47" t="s">
        <v>98</v>
      </c>
      <c r="J1170" s="47" t="s">
        <v>28</v>
      </c>
      <c r="K1170" s="47" t="s">
        <v>34</v>
      </c>
    </row>
    <row r="1171" customFormat="false" ht="15" hidden="false" customHeight="false" outlineLevel="0" collapsed="false">
      <c r="A1171" s="0" t="s">
        <v>2025</v>
      </c>
      <c r="B1171" s="0" t="s">
        <v>1969</v>
      </c>
      <c r="D1171" s="46" t="n">
        <v>45734</v>
      </c>
      <c r="E1171" s="47" t="s">
        <v>55</v>
      </c>
      <c r="F1171" s="48" t="n">
        <v>141840.46</v>
      </c>
      <c r="G1171" s="47" t="s">
        <v>68</v>
      </c>
      <c r="H1171" s="47" t="s">
        <v>43</v>
      </c>
      <c r="I1171" s="47" t="s">
        <v>201</v>
      </c>
      <c r="J1171" s="47" t="s">
        <v>28</v>
      </c>
      <c r="K1171" s="47" t="s">
        <v>33</v>
      </c>
    </row>
    <row r="1172" customFormat="false" ht="15" hidden="false" customHeight="false" outlineLevel="0" collapsed="false">
      <c r="A1172" s="0" t="s">
        <v>2026</v>
      </c>
      <c r="B1172" s="0" t="s">
        <v>1403</v>
      </c>
      <c r="D1172" s="46" t="n">
        <v>45902</v>
      </c>
      <c r="E1172" s="47" t="s">
        <v>60</v>
      </c>
      <c r="F1172" s="48" t="n">
        <v>15694.94</v>
      </c>
      <c r="G1172" s="47" t="s">
        <v>66</v>
      </c>
      <c r="H1172" s="47" t="s">
        <v>47</v>
      </c>
      <c r="I1172" s="47" t="s">
        <v>245</v>
      </c>
      <c r="J1172" s="47" t="s">
        <v>28</v>
      </c>
      <c r="K1172" s="47" t="s">
        <v>33</v>
      </c>
    </row>
    <row r="1173" customFormat="false" ht="15" hidden="false" customHeight="false" outlineLevel="0" collapsed="false">
      <c r="A1173" s="0" t="s">
        <v>2027</v>
      </c>
      <c r="B1173" s="0" t="s">
        <v>1483</v>
      </c>
      <c r="D1173" s="46" t="n">
        <v>45878</v>
      </c>
      <c r="E1173" s="47" t="s">
        <v>61</v>
      </c>
      <c r="F1173" s="48" t="n">
        <v>55734.12</v>
      </c>
      <c r="G1173" s="47" t="s">
        <v>65</v>
      </c>
      <c r="H1173" s="47" t="s">
        <v>46</v>
      </c>
      <c r="I1173" s="47" t="s">
        <v>121</v>
      </c>
      <c r="J1173" s="47" t="s">
        <v>28</v>
      </c>
      <c r="K1173" s="47" t="s">
        <v>33</v>
      </c>
    </row>
    <row r="1174" customFormat="false" ht="15" hidden="false" customHeight="false" outlineLevel="0" collapsed="false">
      <c r="A1174" s="0" t="s">
        <v>2028</v>
      </c>
      <c r="B1174" s="0" t="s">
        <v>1485</v>
      </c>
      <c r="D1174" s="46" t="n">
        <v>45844</v>
      </c>
      <c r="E1174" s="47" t="s">
        <v>58</v>
      </c>
      <c r="F1174" s="48" t="n">
        <v>150851.18</v>
      </c>
      <c r="G1174" s="47" t="s">
        <v>57</v>
      </c>
      <c r="H1174" s="47" t="s">
        <v>42</v>
      </c>
      <c r="I1174" s="47" t="s">
        <v>105</v>
      </c>
      <c r="J1174" s="47" t="s">
        <v>28</v>
      </c>
      <c r="K1174" s="47" t="s">
        <v>34</v>
      </c>
    </row>
    <row r="1175" customFormat="false" ht="15" hidden="false" customHeight="false" outlineLevel="0" collapsed="false">
      <c r="A1175" s="0" t="s">
        <v>2029</v>
      </c>
      <c r="B1175" s="0" t="s">
        <v>822</v>
      </c>
      <c r="D1175" s="46" t="n">
        <v>46289</v>
      </c>
      <c r="E1175" s="47" t="s">
        <v>62</v>
      </c>
      <c r="F1175" s="48" t="n">
        <v>72473.94</v>
      </c>
      <c r="G1175" s="47" t="s">
        <v>66</v>
      </c>
      <c r="H1175" s="47" t="s">
        <v>42</v>
      </c>
      <c r="I1175" s="47" t="s">
        <v>398</v>
      </c>
      <c r="J1175" s="47" t="s">
        <v>28</v>
      </c>
      <c r="K1175" s="47" t="s">
        <v>34</v>
      </c>
    </row>
    <row r="1176" customFormat="false" ht="15" hidden="false" customHeight="false" outlineLevel="0" collapsed="false">
      <c r="A1176" s="0" t="s">
        <v>2030</v>
      </c>
      <c r="B1176" s="0" t="s">
        <v>1236</v>
      </c>
      <c r="D1176" s="46" t="n">
        <v>46018</v>
      </c>
      <c r="E1176" s="47" t="s">
        <v>53</v>
      </c>
      <c r="F1176" s="48" t="n">
        <v>9660.14</v>
      </c>
      <c r="G1176" s="47" t="s">
        <v>66</v>
      </c>
      <c r="H1176" s="47" t="s">
        <v>43</v>
      </c>
      <c r="I1176" s="47" t="s">
        <v>201</v>
      </c>
      <c r="J1176" s="47" t="s">
        <v>28</v>
      </c>
      <c r="K1176" s="47" t="s">
        <v>33</v>
      </c>
    </row>
    <row r="1177" customFormat="false" ht="15" hidden="false" customHeight="false" outlineLevel="0" collapsed="false">
      <c r="A1177" s="0" t="s">
        <v>2031</v>
      </c>
      <c r="B1177" s="0" t="s">
        <v>1243</v>
      </c>
      <c r="D1177" s="46" t="n">
        <v>46107</v>
      </c>
      <c r="E1177" s="47" t="s">
        <v>62</v>
      </c>
      <c r="F1177" s="48" t="n">
        <v>138689.86</v>
      </c>
      <c r="G1177" s="47" t="s">
        <v>66</v>
      </c>
      <c r="H1177" s="47" t="s">
        <v>44</v>
      </c>
      <c r="I1177" s="47" t="s">
        <v>226</v>
      </c>
      <c r="J1177" s="47" t="s">
        <v>28</v>
      </c>
      <c r="K1177" s="47" t="s">
        <v>33</v>
      </c>
    </row>
    <row r="1178" customFormat="false" ht="15" hidden="false" customHeight="false" outlineLevel="0" collapsed="false">
      <c r="A1178" s="0" t="s">
        <v>2032</v>
      </c>
      <c r="B1178" s="0" t="s">
        <v>307</v>
      </c>
      <c r="D1178" s="46" t="n">
        <v>46121</v>
      </c>
      <c r="E1178" s="47" t="s">
        <v>55</v>
      </c>
      <c r="F1178" s="48" t="n">
        <v>127241.86</v>
      </c>
      <c r="G1178" s="47" t="s">
        <v>65</v>
      </c>
      <c r="H1178" s="47" t="s">
        <v>40</v>
      </c>
      <c r="I1178" s="47" t="s">
        <v>89</v>
      </c>
      <c r="J1178" s="47" t="s">
        <v>28</v>
      </c>
      <c r="K1178" s="47" t="s">
        <v>33</v>
      </c>
    </row>
    <row r="1179" customFormat="false" ht="15" hidden="false" customHeight="false" outlineLevel="0" collapsed="false">
      <c r="A1179" s="0" t="s">
        <v>2033</v>
      </c>
      <c r="B1179" s="0" t="s">
        <v>642</v>
      </c>
      <c r="D1179" s="46" t="n">
        <v>46177</v>
      </c>
      <c r="E1179" s="47" t="s">
        <v>53</v>
      </c>
      <c r="F1179" s="48" t="n">
        <v>197735.01</v>
      </c>
      <c r="G1179" s="47" t="s">
        <v>57</v>
      </c>
      <c r="H1179" s="47" t="s">
        <v>43</v>
      </c>
      <c r="I1179" s="47" t="s">
        <v>102</v>
      </c>
      <c r="J1179" s="47" t="s">
        <v>28</v>
      </c>
      <c r="K1179" s="47" t="s">
        <v>33</v>
      </c>
    </row>
    <row r="1180" customFormat="false" ht="15" hidden="false" customHeight="false" outlineLevel="0" collapsed="false">
      <c r="A1180" s="0" t="s">
        <v>2034</v>
      </c>
      <c r="B1180" s="0" t="s">
        <v>544</v>
      </c>
      <c r="D1180" s="46" t="n">
        <v>46020</v>
      </c>
      <c r="E1180" s="47" t="s">
        <v>59</v>
      </c>
      <c r="F1180" s="48" t="n">
        <v>133959.54</v>
      </c>
      <c r="G1180" s="47" t="s">
        <v>66</v>
      </c>
      <c r="H1180" s="47" t="s">
        <v>44</v>
      </c>
      <c r="I1180" s="47" t="s">
        <v>80</v>
      </c>
      <c r="J1180" s="47" t="s">
        <v>29</v>
      </c>
      <c r="K1180" s="47" t="s">
        <v>33</v>
      </c>
    </row>
    <row r="1181" customFormat="false" ht="15" hidden="false" customHeight="false" outlineLevel="0" collapsed="false">
      <c r="A1181" s="0" t="s">
        <v>2035</v>
      </c>
      <c r="B1181" s="0" t="s">
        <v>174</v>
      </c>
      <c r="D1181" s="46" t="n">
        <v>46205</v>
      </c>
      <c r="E1181" s="47" t="s">
        <v>59</v>
      </c>
      <c r="F1181" s="48" t="n">
        <v>60582.66</v>
      </c>
      <c r="G1181" s="47" t="s">
        <v>57</v>
      </c>
      <c r="H1181" s="47" t="s">
        <v>46</v>
      </c>
      <c r="I1181" s="47" t="s">
        <v>148</v>
      </c>
      <c r="J1181" s="47" t="s">
        <v>28</v>
      </c>
      <c r="K1181" s="47" t="s">
        <v>33</v>
      </c>
    </row>
    <row r="1182" customFormat="false" ht="15" hidden="false" customHeight="false" outlineLevel="0" collapsed="false">
      <c r="A1182" s="0" t="s">
        <v>2036</v>
      </c>
      <c r="B1182" s="0" t="s">
        <v>2037</v>
      </c>
      <c r="D1182" s="46" t="n">
        <v>45871</v>
      </c>
      <c r="E1182" s="47" t="s">
        <v>58</v>
      </c>
      <c r="F1182" s="48" t="n">
        <v>7074.96</v>
      </c>
      <c r="G1182" s="47" t="s">
        <v>66</v>
      </c>
      <c r="H1182" s="47" t="s">
        <v>43</v>
      </c>
      <c r="I1182" s="47" t="s">
        <v>117</v>
      </c>
      <c r="J1182" s="47" t="s">
        <v>28</v>
      </c>
      <c r="K1182" s="47" t="s">
        <v>34</v>
      </c>
    </row>
    <row r="1183" customFormat="false" ht="15" hidden="false" customHeight="false" outlineLevel="0" collapsed="false">
      <c r="A1183" s="0" t="s">
        <v>2038</v>
      </c>
      <c r="B1183" s="0" t="s">
        <v>2039</v>
      </c>
      <c r="D1183" s="46" t="n">
        <v>45681</v>
      </c>
      <c r="E1183" s="47" t="s">
        <v>60</v>
      </c>
      <c r="F1183" s="48" t="n">
        <v>153337.89</v>
      </c>
      <c r="G1183" s="47" t="s">
        <v>68</v>
      </c>
      <c r="H1183" s="47" t="s">
        <v>44</v>
      </c>
      <c r="I1183" s="47" t="s">
        <v>226</v>
      </c>
      <c r="J1183" s="47" t="s">
        <v>28</v>
      </c>
      <c r="K1183" s="47" t="s">
        <v>34</v>
      </c>
    </row>
    <row r="1184" customFormat="false" ht="15" hidden="false" customHeight="false" outlineLevel="0" collapsed="false">
      <c r="A1184" s="0" t="s">
        <v>2040</v>
      </c>
      <c r="B1184" s="0" t="s">
        <v>2041</v>
      </c>
      <c r="C1184" s="0" t="s">
        <v>2042</v>
      </c>
      <c r="D1184" s="46" t="n">
        <v>46156</v>
      </c>
      <c r="E1184" s="47" t="s">
        <v>61</v>
      </c>
      <c r="F1184" s="48" t="n">
        <v>29256.14</v>
      </c>
      <c r="G1184" s="47" t="s">
        <v>53</v>
      </c>
      <c r="H1184" s="47" t="s">
        <v>41</v>
      </c>
      <c r="I1184" s="47" t="s">
        <v>272</v>
      </c>
      <c r="J1184" s="47" t="s">
        <v>28</v>
      </c>
      <c r="K1184" s="47" t="s">
        <v>33</v>
      </c>
    </row>
    <row r="1185" customFormat="false" ht="15" hidden="false" customHeight="false" outlineLevel="0" collapsed="false">
      <c r="A1185" s="0" t="s">
        <v>2043</v>
      </c>
      <c r="B1185" s="0" t="s">
        <v>952</v>
      </c>
      <c r="D1185" s="46" t="n">
        <v>46008</v>
      </c>
      <c r="E1185" s="47" t="s">
        <v>59</v>
      </c>
      <c r="F1185" s="48" t="n">
        <v>179706.58</v>
      </c>
      <c r="G1185" s="47" t="s">
        <v>57</v>
      </c>
      <c r="H1185" s="47" t="s">
        <v>40</v>
      </c>
      <c r="I1185" s="47" t="s">
        <v>89</v>
      </c>
      <c r="J1185" s="47" t="s">
        <v>28</v>
      </c>
      <c r="K1185" s="47" t="s">
        <v>34</v>
      </c>
    </row>
    <row r="1186" customFormat="false" ht="15" hidden="false" customHeight="false" outlineLevel="0" collapsed="false">
      <c r="A1186" s="0" t="s">
        <v>2044</v>
      </c>
      <c r="B1186" s="0" t="s">
        <v>1785</v>
      </c>
      <c r="D1186" s="46" t="n">
        <v>45911</v>
      </c>
      <c r="E1186" s="47" t="s">
        <v>59</v>
      </c>
      <c r="F1186" s="48" t="n">
        <v>198694.24</v>
      </c>
      <c r="G1186" s="47" t="s">
        <v>66</v>
      </c>
      <c r="H1186" s="47" t="s">
        <v>43</v>
      </c>
      <c r="I1186" s="47" t="s">
        <v>201</v>
      </c>
      <c r="J1186" s="47" t="s">
        <v>28</v>
      </c>
      <c r="K1186" s="47" t="s">
        <v>33</v>
      </c>
    </row>
    <row r="1187" customFormat="false" ht="15" hidden="false" customHeight="false" outlineLevel="0" collapsed="false">
      <c r="A1187" s="0" t="s">
        <v>2045</v>
      </c>
      <c r="B1187" s="0" t="s">
        <v>808</v>
      </c>
      <c r="D1187" s="46" t="n">
        <v>45840</v>
      </c>
      <c r="E1187" s="47" t="s">
        <v>55</v>
      </c>
      <c r="F1187" s="48" t="n">
        <v>113916.19</v>
      </c>
      <c r="G1187" s="47" t="s">
        <v>65</v>
      </c>
      <c r="H1187" s="47" t="s">
        <v>44</v>
      </c>
      <c r="I1187" s="47" t="s">
        <v>80</v>
      </c>
      <c r="J1187" s="47" t="s">
        <v>28</v>
      </c>
      <c r="K1187" s="47" t="s">
        <v>34</v>
      </c>
    </row>
    <row r="1188" customFormat="false" ht="15" hidden="false" customHeight="false" outlineLevel="0" collapsed="false">
      <c r="A1188" s="0" t="s">
        <v>2046</v>
      </c>
      <c r="B1188" s="0" t="s">
        <v>2047</v>
      </c>
      <c r="C1188" s="0" t="s">
        <v>2048</v>
      </c>
      <c r="D1188" s="46" t="n">
        <v>46160</v>
      </c>
      <c r="E1188" s="47" t="s">
        <v>53</v>
      </c>
      <c r="F1188" s="48" t="n">
        <v>79673.13</v>
      </c>
      <c r="G1188" s="47" t="s">
        <v>53</v>
      </c>
      <c r="H1188" s="47" t="s">
        <v>40</v>
      </c>
      <c r="I1188" s="47" t="s">
        <v>83</v>
      </c>
      <c r="J1188" s="47" t="s">
        <v>28</v>
      </c>
      <c r="K1188" s="47" t="s">
        <v>34</v>
      </c>
    </row>
    <row r="1189" customFormat="false" ht="15" hidden="false" customHeight="false" outlineLevel="0" collapsed="false">
      <c r="A1189" s="0" t="s">
        <v>2049</v>
      </c>
      <c r="B1189" s="0" t="s">
        <v>1211</v>
      </c>
      <c r="C1189" s="0" t="s">
        <v>2050</v>
      </c>
      <c r="D1189" s="46" t="n">
        <v>45996</v>
      </c>
      <c r="E1189" s="47" t="s">
        <v>60</v>
      </c>
      <c r="F1189" s="48" t="n">
        <v>71918.43</v>
      </c>
      <c r="G1189" s="47" t="s">
        <v>57</v>
      </c>
      <c r="H1189" s="47" t="s">
        <v>40</v>
      </c>
      <c r="I1189" s="47" t="s">
        <v>89</v>
      </c>
      <c r="J1189" s="47" t="s">
        <v>28</v>
      </c>
      <c r="K1189" s="47" t="s">
        <v>33</v>
      </c>
    </row>
    <row r="1190" customFormat="false" ht="15" hidden="false" customHeight="false" outlineLevel="0" collapsed="false">
      <c r="A1190" s="0" t="s">
        <v>2051</v>
      </c>
      <c r="B1190" s="0" t="s">
        <v>637</v>
      </c>
      <c r="D1190" s="46" t="n">
        <v>45781</v>
      </c>
      <c r="E1190" s="47" t="s">
        <v>62</v>
      </c>
      <c r="F1190" s="48" t="n">
        <v>10694.55</v>
      </c>
      <c r="G1190" s="47" t="s">
        <v>65</v>
      </c>
      <c r="H1190" s="47" t="s">
        <v>42</v>
      </c>
      <c r="I1190" s="47" t="s">
        <v>398</v>
      </c>
      <c r="J1190" s="47" t="s">
        <v>28</v>
      </c>
      <c r="K1190" s="47" t="s">
        <v>33</v>
      </c>
    </row>
    <row r="1191" customFormat="false" ht="15" hidden="false" customHeight="false" outlineLevel="0" collapsed="false">
      <c r="A1191" s="0" t="s">
        <v>2052</v>
      </c>
      <c r="B1191" s="0" t="s">
        <v>1467</v>
      </c>
      <c r="D1191" s="46" t="n">
        <v>45752</v>
      </c>
      <c r="E1191" s="47" t="s">
        <v>62</v>
      </c>
      <c r="F1191" s="48" t="n">
        <v>185049.31</v>
      </c>
      <c r="G1191" s="47" t="s">
        <v>65</v>
      </c>
      <c r="H1191" s="47" t="s">
        <v>45</v>
      </c>
      <c r="I1191" s="47" t="s">
        <v>151</v>
      </c>
      <c r="J1191" s="47" t="s">
        <v>28</v>
      </c>
      <c r="K1191" s="47" t="s">
        <v>34</v>
      </c>
    </row>
    <row r="1192" customFormat="false" ht="15" hidden="false" customHeight="false" outlineLevel="0" collapsed="false">
      <c r="A1192" s="0" t="s">
        <v>2053</v>
      </c>
      <c r="B1192" s="0" t="s">
        <v>1267</v>
      </c>
      <c r="D1192" s="46" t="n">
        <v>45668</v>
      </c>
      <c r="E1192" s="47" t="s">
        <v>59</v>
      </c>
      <c r="F1192" s="48" t="n">
        <v>159806.96</v>
      </c>
      <c r="G1192" s="47" t="s">
        <v>66</v>
      </c>
      <c r="H1192" s="47" t="s">
        <v>44</v>
      </c>
      <c r="I1192" s="47" t="s">
        <v>80</v>
      </c>
      <c r="J1192" s="47" t="s">
        <v>28</v>
      </c>
      <c r="K1192" s="47" t="s">
        <v>33</v>
      </c>
    </row>
    <row r="1193" customFormat="false" ht="15" hidden="false" customHeight="false" outlineLevel="0" collapsed="false">
      <c r="A1193" s="0" t="s">
        <v>2054</v>
      </c>
      <c r="B1193" s="0" t="s">
        <v>2055</v>
      </c>
      <c r="D1193" s="46" t="n">
        <v>45916</v>
      </c>
      <c r="E1193" s="47" t="s">
        <v>59</v>
      </c>
      <c r="F1193" s="48" t="n">
        <v>131412.47</v>
      </c>
      <c r="G1193" s="47" t="s">
        <v>57</v>
      </c>
      <c r="H1193" s="47" t="s">
        <v>47</v>
      </c>
      <c r="I1193" s="47" t="s">
        <v>166</v>
      </c>
      <c r="J1193" s="47" t="s">
        <v>28</v>
      </c>
      <c r="K1193" s="47" t="s">
        <v>33</v>
      </c>
    </row>
    <row r="1194" customFormat="false" ht="15" hidden="false" customHeight="false" outlineLevel="0" collapsed="false">
      <c r="A1194" s="0" t="s">
        <v>2056</v>
      </c>
      <c r="B1194" s="0" t="s">
        <v>1050</v>
      </c>
      <c r="D1194" s="46" t="n">
        <v>45676</v>
      </c>
      <c r="E1194" s="47" t="s">
        <v>55</v>
      </c>
      <c r="F1194" s="48" t="n">
        <v>77639.73</v>
      </c>
      <c r="G1194" s="47" t="s">
        <v>65</v>
      </c>
      <c r="H1194" s="47" t="s">
        <v>42</v>
      </c>
      <c r="I1194" s="47" t="s">
        <v>137</v>
      </c>
      <c r="J1194" s="47" t="s">
        <v>28</v>
      </c>
      <c r="K1194" s="47" t="s">
        <v>34</v>
      </c>
    </row>
    <row r="1195" customFormat="false" ht="15" hidden="false" customHeight="false" outlineLevel="0" collapsed="false">
      <c r="A1195" s="0" t="s">
        <v>2057</v>
      </c>
      <c r="B1195" s="0" t="s">
        <v>2058</v>
      </c>
      <c r="D1195" s="46" t="n">
        <v>45726</v>
      </c>
      <c r="E1195" s="47" t="s">
        <v>59</v>
      </c>
      <c r="F1195" s="48" t="n">
        <v>128631.81</v>
      </c>
      <c r="G1195" s="47" t="s">
        <v>53</v>
      </c>
      <c r="H1195" s="47" t="s">
        <v>44</v>
      </c>
      <c r="I1195" s="47" t="s">
        <v>80</v>
      </c>
      <c r="J1195" s="47" t="s">
        <v>28</v>
      </c>
      <c r="K1195" s="47" t="s">
        <v>33</v>
      </c>
    </row>
    <row r="1196" customFormat="false" ht="15" hidden="false" customHeight="false" outlineLevel="0" collapsed="false">
      <c r="A1196" s="0" t="s">
        <v>2059</v>
      </c>
      <c r="B1196" s="0" t="s">
        <v>910</v>
      </c>
      <c r="D1196" s="46" t="n">
        <v>46289</v>
      </c>
      <c r="E1196" s="47" t="s">
        <v>60</v>
      </c>
      <c r="F1196" s="48" t="n">
        <v>194209.81</v>
      </c>
      <c r="G1196" s="47" t="s">
        <v>68</v>
      </c>
      <c r="H1196" s="47" t="s">
        <v>43</v>
      </c>
      <c r="I1196" s="47" t="s">
        <v>102</v>
      </c>
      <c r="J1196" s="47" t="s">
        <v>28</v>
      </c>
      <c r="K1196" s="47" t="s">
        <v>34</v>
      </c>
    </row>
    <row r="1197" customFormat="false" ht="15" hidden="false" customHeight="false" outlineLevel="0" collapsed="false">
      <c r="A1197" s="0" t="s">
        <v>2060</v>
      </c>
      <c r="B1197" s="0" t="s">
        <v>304</v>
      </c>
      <c r="D1197" s="46" t="n">
        <v>45855</v>
      </c>
      <c r="E1197" s="47" t="s">
        <v>58</v>
      </c>
      <c r="F1197" s="48" t="n">
        <v>123416.5</v>
      </c>
      <c r="G1197" s="47" t="s">
        <v>65</v>
      </c>
      <c r="H1197" s="47" t="s">
        <v>39</v>
      </c>
      <c r="I1197" s="47" t="s">
        <v>177</v>
      </c>
      <c r="J1197" s="47" t="s">
        <v>28</v>
      </c>
      <c r="K1197" s="47" t="s">
        <v>34</v>
      </c>
    </row>
    <row r="1198" customFormat="false" ht="15" hidden="false" customHeight="false" outlineLevel="0" collapsed="false">
      <c r="A1198" s="0" t="s">
        <v>2061</v>
      </c>
      <c r="B1198" s="0" t="s">
        <v>864</v>
      </c>
      <c r="D1198" s="46" t="n">
        <v>45939</v>
      </c>
      <c r="E1198" s="47" t="s">
        <v>58</v>
      </c>
      <c r="F1198" s="48" t="n">
        <v>170179.18</v>
      </c>
      <c r="G1198" s="47" t="s">
        <v>68</v>
      </c>
      <c r="H1198" s="47" t="s">
        <v>43</v>
      </c>
      <c r="I1198" s="47" t="s">
        <v>201</v>
      </c>
      <c r="J1198" s="47" t="s">
        <v>28</v>
      </c>
      <c r="K1198" s="47" t="s">
        <v>34</v>
      </c>
    </row>
    <row r="1199" customFormat="false" ht="15" hidden="false" customHeight="false" outlineLevel="0" collapsed="false">
      <c r="A1199" s="0" t="s">
        <v>2062</v>
      </c>
      <c r="B1199" s="0" t="s">
        <v>107</v>
      </c>
      <c r="D1199" s="46" t="n">
        <v>45942</v>
      </c>
      <c r="E1199" s="47" t="s">
        <v>60</v>
      </c>
      <c r="F1199" s="48" t="n">
        <v>167425.23</v>
      </c>
      <c r="G1199" s="47" t="s">
        <v>68</v>
      </c>
      <c r="H1199" s="47" t="s">
        <v>47</v>
      </c>
      <c r="I1199" s="47" t="s">
        <v>108</v>
      </c>
      <c r="J1199" s="47" t="s">
        <v>28</v>
      </c>
      <c r="K1199" s="47" t="s">
        <v>34</v>
      </c>
    </row>
    <row r="1200" customFormat="false" ht="15" hidden="false" customHeight="false" outlineLevel="0" collapsed="false">
      <c r="A1200" s="0" t="s">
        <v>2063</v>
      </c>
      <c r="B1200" s="0" t="s">
        <v>324</v>
      </c>
      <c r="D1200" s="46" t="n">
        <v>46028</v>
      </c>
      <c r="E1200" s="47" t="s">
        <v>61</v>
      </c>
      <c r="F1200" s="48" t="n">
        <v>4266.15</v>
      </c>
      <c r="G1200" s="47" t="s">
        <v>53</v>
      </c>
      <c r="H1200" s="47" t="s">
        <v>44</v>
      </c>
      <c r="I1200" s="47" t="s">
        <v>226</v>
      </c>
      <c r="J1200" s="47" t="s">
        <v>28</v>
      </c>
      <c r="K1200" s="47" t="s">
        <v>34</v>
      </c>
    </row>
    <row r="1201" customFormat="false" ht="15" hidden="false" customHeight="false" outlineLevel="0" collapsed="false">
      <c r="A1201" s="0" t="s">
        <v>2064</v>
      </c>
      <c r="B1201" s="0" t="s">
        <v>2065</v>
      </c>
      <c r="D1201" s="46" t="n">
        <v>45932</v>
      </c>
      <c r="E1201" s="47" t="s">
        <v>62</v>
      </c>
      <c r="F1201" s="48" t="n">
        <v>105231.16</v>
      </c>
      <c r="G1201" s="47" t="s">
        <v>66</v>
      </c>
      <c r="H1201" s="47" t="s">
        <v>40</v>
      </c>
      <c r="I1201" s="47" t="s">
        <v>83</v>
      </c>
      <c r="J1201" s="47" t="s">
        <v>28</v>
      </c>
      <c r="K1201" s="47" t="s">
        <v>33</v>
      </c>
    </row>
    <row r="1202" customFormat="false" ht="15" hidden="false" customHeight="false" outlineLevel="0" collapsed="false">
      <c r="A1202" s="0" t="s">
        <v>2066</v>
      </c>
      <c r="B1202" s="0" t="s">
        <v>91</v>
      </c>
      <c r="D1202" s="46" t="n">
        <v>46080</v>
      </c>
      <c r="E1202" s="47" t="s">
        <v>55</v>
      </c>
      <c r="F1202" s="48" t="n">
        <v>175130.45</v>
      </c>
      <c r="G1202" s="47" t="s">
        <v>57</v>
      </c>
      <c r="H1202" s="47" t="s">
        <v>41</v>
      </c>
      <c r="I1202" s="47" t="s">
        <v>86</v>
      </c>
      <c r="J1202" s="47" t="s">
        <v>28</v>
      </c>
      <c r="K1202" s="47" t="s">
        <v>34</v>
      </c>
    </row>
    <row r="1203" customFormat="false" ht="15" hidden="false" customHeight="false" outlineLevel="0" collapsed="false">
      <c r="A1203" s="0" t="s">
        <v>2067</v>
      </c>
      <c r="B1203" s="0" t="s">
        <v>2068</v>
      </c>
      <c r="D1203" s="46" t="n">
        <v>46199</v>
      </c>
      <c r="E1203" s="47" t="s">
        <v>55</v>
      </c>
      <c r="F1203" s="48" t="n">
        <v>110414.99</v>
      </c>
      <c r="G1203" s="47" t="s">
        <v>65</v>
      </c>
      <c r="H1203" s="47" t="s">
        <v>41</v>
      </c>
      <c r="I1203" s="47" t="s">
        <v>293</v>
      </c>
      <c r="J1203" s="47" t="s">
        <v>28</v>
      </c>
      <c r="K1203" s="47" t="s">
        <v>33</v>
      </c>
    </row>
    <row r="1204" customFormat="false" ht="15" hidden="false" customHeight="false" outlineLevel="0" collapsed="false">
      <c r="A1204" s="0" t="s">
        <v>2069</v>
      </c>
      <c r="B1204" s="0" t="s">
        <v>1401</v>
      </c>
      <c r="D1204" s="46" t="n">
        <v>46161</v>
      </c>
      <c r="E1204" s="47" t="s">
        <v>53</v>
      </c>
      <c r="F1204" s="48" t="n">
        <v>140527.18</v>
      </c>
      <c r="G1204" s="47" t="s">
        <v>65</v>
      </c>
      <c r="H1204" s="47" t="s">
        <v>47</v>
      </c>
      <c r="I1204" s="47" t="s">
        <v>108</v>
      </c>
      <c r="J1204" s="47" t="s">
        <v>28</v>
      </c>
      <c r="K1204" s="47" t="s">
        <v>34</v>
      </c>
    </row>
    <row r="1205" customFormat="false" ht="15" hidden="false" customHeight="false" outlineLevel="0" collapsed="false">
      <c r="A1205" s="0" t="s">
        <v>2070</v>
      </c>
      <c r="B1205" s="0" t="s">
        <v>1597</v>
      </c>
      <c r="D1205" s="46" t="n">
        <v>46090</v>
      </c>
      <c r="E1205" s="47" t="s">
        <v>60</v>
      </c>
      <c r="F1205" s="48" t="n">
        <v>13112.59</v>
      </c>
      <c r="G1205" s="47" t="s">
        <v>65</v>
      </c>
      <c r="H1205" s="47" t="s">
        <v>44</v>
      </c>
      <c r="I1205" s="47" t="s">
        <v>132</v>
      </c>
      <c r="J1205" s="47" t="s">
        <v>28</v>
      </c>
      <c r="K1205" s="47" t="s">
        <v>34</v>
      </c>
    </row>
    <row r="1206" customFormat="false" ht="15" hidden="false" customHeight="false" outlineLevel="0" collapsed="false">
      <c r="A1206" s="0" t="s">
        <v>2071</v>
      </c>
      <c r="B1206" s="0" t="s">
        <v>1030</v>
      </c>
      <c r="D1206" s="46" t="n">
        <v>46273</v>
      </c>
      <c r="E1206" s="47" t="s">
        <v>59</v>
      </c>
      <c r="F1206" s="48" t="n">
        <v>26677.89</v>
      </c>
      <c r="G1206" s="47" t="s">
        <v>65</v>
      </c>
      <c r="H1206" s="47" t="s">
        <v>39</v>
      </c>
      <c r="I1206" s="47" t="s">
        <v>98</v>
      </c>
      <c r="J1206" s="47" t="s">
        <v>28</v>
      </c>
      <c r="K1206" s="47" t="s">
        <v>33</v>
      </c>
    </row>
    <row r="1207" customFormat="false" ht="15" hidden="false" customHeight="false" outlineLevel="0" collapsed="false">
      <c r="A1207" s="0" t="s">
        <v>2072</v>
      </c>
      <c r="B1207" s="0" t="s">
        <v>2073</v>
      </c>
      <c r="D1207" s="46" t="n">
        <v>45705</v>
      </c>
      <c r="E1207" s="47" t="s">
        <v>59</v>
      </c>
      <c r="F1207" s="48" t="n">
        <v>137921.6</v>
      </c>
      <c r="G1207" s="47" t="s">
        <v>66</v>
      </c>
      <c r="H1207" s="47" t="s">
        <v>43</v>
      </c>
      <c r="I1207" s="47" t="s">
        <v>201</v>
      </c>
      <c r="J1207" s="47" t="s">
        <v>28</v>
      </c>
      <c r="K1207" s="47" t="s">
        <v>33</v>
      </c>
    </row>
    <row r="1208" customFormat="false" ht="15" hidden="false" customHeight="false" outlineLevel="0" collapsed="false">
      <c r="A1208" s="0" t="s">
        <v>2074</v>
      </c>
      <c r="B1208" s="0" t="s">
        <v>265</v>
      </c>
      <c r="D1208" s="46" t="n">
        <v>46259</v>
      </c>
      <c r="E1208" s="47" t="s">
        <v>59</v>
      </c>
      <c r="F1208" s="48" t="n">
        <v>152723.95</v>
      </c>
      <c r="G1208" s="47" t="s">
        <v>57</v>
      </c>
      <c r="H1208" s="47" t="s">
        <v>41</v>
      </c>
      <c r="I1208" s="47" t="s">
        <v>86</v>
      </c>
      <c r="J1208" s="47" t="s">
        <v>28</v>
      </c>
      <c r="K1208" s="47" t="s">
        <v>34</v>
      </c>
    </row>
    <row r="1209" customFormat="false" ht="15" hidden="false" customHeight="false" outlineLevel="0" collapsed="false">
      <c r="A1209" s="0" t="s">
        <v>2075</v>
      </c>
      <c r="B1209" s="0" t="s">
        <v>2007</v>
      </c>
      <c r="D1209" s="46" t="n">
        <v>45906</v>
      </c>
      <c r="E1209" s="47" t="s">
        <v>58</v>
      </c>
      <c r="F1209" s="48" t="n">
        <v>32196.93</v>
      </c>
      <c r="G1209" s="47" t="s">
        <v>68</v>
      </c>
      <c r="H1209" s="47" t="s">
        <v>47</v>
      </c>
      <c r="I1209" s="47" t="s">
        <v>245</v>
      </c>
      <c r="J1209" s="47" t="s">
        <v>28</v>
      </c>
      <c r="K1209" s="47" t="s">
        <v>33</v>
      </c>
    </row>
    <row r="1210" customFormat="false" ht="15" hidden="false" customHeight="false" outlineLevel="0" collapsed="false">
      <c r="A1210" s="0" t="s">
        <v>2076</v>
      </c>
      <c r="B1210" s="0" t="s">
        <v>1548</v>
      </c>
      <c r="D1210" s="46" t="n">
        <v>45834</v>
      </c>
      <c r="E1210" s="47" t="s">
        <v>53</v>
      </c>
      <c r="F1210" s="48" t="n">
        <v>33384.03</v>
      </c>
      <c r="G1210" s="47" t="s">
        <v>65</v>
      </c>
      <c r="H1210" s="47" t="s">
        <v>40</v>
      </c>
      <c r="I1210" s="47" t="s">
        <v>83</v>
      </c>
      <c r="J1210" s="47" t="s">
        <v>29</v>
      </c>
      <c r="K1210" s="47" t="s">
        <v>33</v>
      </c>
    </row>
    <row r="1211" customFormat="false" ht="15" hidden="false" customHeight="false" outlineLevel="0" collapsed="false">
      <c r="A1211" s="0" t="s">
        <v>2077</v>
      </c>
      <c r="B1211" s="0" t="s">
        <v>645</v>
      </c>
      <c r="D1211" s="46" t="n">
        <v>45688</v>
      </c>
      <c r="E1211" s="47" t="s">
        <v>62</v>
      </c>
      <c r="F1211" s="48" t="n">
        <v>88063.99</v>
      </c>
      <c r="G1211" s="47" t="s">
        <v>68</v>
      </c>
      <c r="H1211" s="47" t="s">
        <v>43</v>
      </c>
      <c r="I1211" s="47" t="s">
        <v>201</v>
      </c>
      <c r="J1211" s="47" t="s">
        <v>28</v>
      </c>
      <c r="K1211" s="47" t="s">
        <v>33</v>
      </c>
    </row>
    <row r="1212" customFormat="false" ht="15" hidden="false" customHeight="false" outlineLevel="0" collapsed="false">
      <c r="A1212" s="0" t="s">
        <v>2078</v>
      </c>
      <c r="B1212" s="0" t="s">
        <v>1927</v>
      </c>
      <c r="C1212" s="0" t="s">
        <v>2079</v>
      </c>
      <c r="D1212" s="46" t="n">
        <v>45786</v>
      </c>
      <c r="E1212" s="47" t="s">
        <v>55</v>
      </c>
      <c r="F1212" s="48" t="n">
        <v>27199.87</v>
      </c>
      <c r="G1212" s="47" t="s">
        <v>66</v>
      </c>
      <c r="H1212" s="47" t="s">
        <v>47</v>
      </c>
      <c r="I1212" s="47" t="s">
        <v>108</v>
      </c>
      <c r="J1212" s="47" t="s">
        <v>28</v>
      </c>
      <c r="K1212" s="47" t="s">
        <v>34</v>
      </c>
    </row>
    <row r="1213" customFormat="false" ht="15" hidden="false" customHeight="false" outlineLevel="0" collapsed="false">
      <c r="A1213" s="0" t="s">
        <v>2080</v>
      </c>
      <c r="B1213" s="0" t="s">
        <v>569</v>
      </c>
      <c r="D1213" s="46" t="n">
        <v>45711</v>
      </c>
      <c r="E1213" s="47" t="s">
        <v>53</v>
      </c>
      <c r="F1213" s="48" t="n">
        <v>163142.02</v>
      </c>
      <c r="G1213" s="47" t="s">
        <v>57</v>
      </c>
      <c r="H1213" s="47" t="s">
        <v>43</v>
      </c>
      <c r="I1213" s="47" t="s">
        <v>201</v>
      </c>
      <c r="J1213" s="47" t="s">
        <v>28</v>
      </c>
      <c r="K1213" s="47" t="s">
        <v>34</v>
      </c>
    </row>
    <row r="1214" customFormat="false" ht="15" hidden="false" customHeight="false" outlineLevel="0" collapsed="false">
      <c r="A1214" s="0" t="s">
        <v>2081</v>
      </c>
      <c r="B1214" s="0" t="s">
        <v>509</v>
      </c>
      <c r="D1214" s="46" t="n">
        <v>45707</v>
      </c>
      <c r="E1214" s="47" t="s">
        <v>59</v>
      </c>
      <c r="F1214" s="48" t="n">
        <v>52445.46</v>
      </c>
      <c r="G1214" s="47" t="s">
        <v>57</v>
      </c>
      <c r="H1214" s="47" t="s">
        <v>46</v>
      </c>
      <c r="I1214" s="47" t="s">
        <v>121</v>
      </c>
      <c r="J1214" s="47" t="s">
        <v>28</v>
      </c>
      <c r="K1214" s="47" t="s">
        <v>34</v>
      </c>
    </row>
    <row r="1215" customFormat="false" ht="15" hidden="false" customHeight="false" outlineLevel="0" collapsed="false">
      <c r="A1215" s="0" t="s">
        <v>2082</v>
      </c>
      <c r="B1215" s="0" t="s">
        <v>2083</v>
      </c>
      <c r="D1215" s="46" t="n">
        <v>45796</v>
      </c>
      <c r="E1215" s="47" t="s">
        <v>53</v>
      </c>
      <c r="F1215" s="48" t="n">
        <v>170456.94</v>
      </c>
      <c r="G1215" s="47" t="s">
        <v>68</v>
      </c>
      <c r="H1215" s="47" t="s">
        <v>48</v>
      </c>
      <c r="I1215" s="47" t="s">
        <v>212</v>
      </c>
      <c r="J1215" s="47" t="s">
        <v>28</v>
      </c>
      <c r="K1215" s="47" t="s">
        <v>34</v>
      </c>
    </row>
    <row r="1216" customFormat="false" ht="15" hidden="false" customHeight="false" outlineLevel="0" collapsed="false">
      <c r="A1216" s="0" t="s">
        <v>2084</v>
      </c>
      <c r="B1216" s="0" t="s">
        <v>79</v>
      </c>
      <c r="D1216" s="46" t="n">
        <v>45927</v>
      </c>
      <c r="E1216" s="47" t="s">
        <v>60</v>
      </c>
      <c r="F1216" s="48" t="n">
        <v>134916.9</v>
      </c>
      <c r="G1216" s="47" t="s">
        <v>66</v>
      </c>
      <c r="H1216" s="47" t="s">
        <v>44</v>
      </c>
      <c r="I1216" s="47" t="s">
        <v>80</v>
      </c>
      <c r="J1216" s="47" t="s">
        <v>28</v>
      </c>
      <c r="K1216" s="47" t="s">
        <v>34</v>
      </c>
    </row>
    <row r="1217" customFormat="false" ht="15" hidden="false" customHeight="false" outlineLevel="0" collapsed="false">
      <c r="A1217" s="0" t="s">
        <v>2085</v>
      </c>
      <c r="B1217" s="0" t="s">
        <v>786</v>
      </c>
      <c r="D1217" s="46" t="n">
        <v>45952</v>
      </c>
      <c r="E1217" s="47" t="s">
        <v>62</v>
      </c>
      <c r="F1217" s="48" t="n">
        <v>190399.34</v>
      </c>
      <c r="G1217" s="47" t="s">
        <v>53</v>
      </c>
      <c r="H1217" s="47" t="s">
        <v>48</v>
      </c>
      <c r="I1217" s="47" t="s">
        <v>114</v>
      </c>
      <c r="J1217" s="47" t="s">
        <v>28</v>
      </c>
      <c r="K1217" s="47" t="s">
        <v>33</v>
      </c>
    </row>
    <row r="1218" customFormat="false" ht="15" hidden="false" customHeight="false" outlineLevel="0" collapsed="false">
      <c r="A1218" s="0" t="s">
        <v>2086</v>
      </c>
      <c r="B1218" s="0" t="s">
        <v>822</v>
      </c>
      <c r="D1218" s="46" t="n">
        <v>45998</v>
      </c>
      <c r="E1218" s="47" t="s">
        <v>61</v>
      </c>
      <c r="F1218" s="48" t="n">
        <v>187067.13</v>
      </c>
      <c r="G1218" s="47" t="s">
        <v>53</v>
      </c>
      <c r="H1218" s="47" t="s">
        <v>42</v>
      </c>
      <c r="I1218" s="47" t="s">
        <v>398</v>
      </c>
      <c r="J1218" s="47" t="s">
        <v>28</v>
      </c>
      <c r="K1218" s="47" t="s">
        <v>34</v>
      </c>
    </row>
    <row r="1219" customFormat="false" ht="15" hidden="false" customHeight="false" outlineLevel="0" collapsed="false">
      <c r="A1219" s="0" t="s">
        <v>2087</v>
      </c>
      <c r="B1219" s="0" t="s">
        <v>147</v>
      </c>
      <c r="C1219" s="0" t="s">
        <v>2088</v>
      </c>
      <c r="D1219" s="46" t="n">
        <v>46292</v>
      </c>
      <c r="E1219" s="47" t="s">
        <v>61</v>
      </c>
      <c r="F1219" s="48" t="n">
        <v>13719.6</v>
      </c>
      <c r="G1219" s="47" t="s">
        <v>65</v>
      </c>
      <c r="H1219" s="47" t="s">
        <v>46</v>
      </c>
      <c r="I1219" s="47" t="s">
        <v>148</v>
      </c>
      <c r="J1219" s="47" t="s">
        <v>28</v>
      </c>
      <c r="K1219" s="47" t="s">
        <v>34</v>
      </c>
    </row>
    <row r="1220" customFormat="false" ht="15" hidden="false" customHeight="false" outlineLevel="0" collapsed="false">
      <c r="A1220" s="0" t="s">
        <v>2089</v>
      </c>
      <c r="B1220" s="0" t="s">
        <v>2090</v>
      </c>
      <c r="D1220" s="46" t="n">
        <v>45867</v>
      </c>
      <c r="E1220" s="47" t="s">
        <v>58</v>
      </c>
      <c r="F1220" s="48" t="n">
        <v>171494.08</v>
      </c>
      <c r="G1220" s="47" t="s">
        <v>65</v>
      </c>
      <c r="H1220" s="47" t="s">
        <v>47</v>
      </c>
      <c r="I1220" s="47" t="s">
        <v>108</v>
      </c>
      <c r="J1220" s="47" t="s">
        <v>28</v>
      </c>
      <c r="K1220" s="47" t="s">
        <v>33</v>
      </c>
    </row>
    <row r="1221" customFormat="false" ht="15" hidden="false" customHeight="false" outlineLevel="0" collapsed="false">
      <c r="A1221" s="0" t="s">
        <v>2091</v>
      </c>
      <c r="B1221" s="0" t="s">
        <v>388</v>
      </c>
      <c r="D1221" s="46" t="n">
        <v>45882</v>
      </c>
      <c r="E1221" s="47" t="s">
        <v>53</v>
      </c>
      <c r="F1221" s="48" t="n">
        <v>159471.83</v>
      </c>
      <c r="G1221" s="47" t="s">
        <v>57</v>
      </c>
      <c r="H1221" s="47" t="s">
        <v>41</v>
      </c>
      <c r="I1221" s="47" t="s">
        <v>272</v>
      </c>
      <c r="J1221" s="47" t="s">
        <v>28</v>
      </c>
      <c r="K1221" s="47" t="s">
        <v>34</v>
      </c>
    </row>
    <row r="1222" customFormat="false" ht="15" hidden="false" customHeight="false" outlineLevel="0" collapsed="false">
      <c r="A1222" s="0" t="s">
        <v>2092</v>
      </c>
      <c r="B1222" s="0" t="s">
        <v>818</v>
      </c>
      <c r="D1222" s="46" t="n">
        <v>45811</v>
      </c>
      <c r="E1222" s="47" t="s">
        <v>58</v>
      </c>
      <c r="F1222" s="48" t="n">
        <v>91353.1</v>
      </c>
      <c r="G1222" s="47" t="s">
        <v>57</v>
      </c>
      <c r="H1222" s="47" t="s">
        <v>42</v>
      </c>
      <c r="I1222" s="47" t="s">
        <v>137</v>
      </c>
      <c r="J1222" s="47" t="s">
        <v>28</v>
      </c>
      <c r="K1222" s="47" t="s">
        <v>34</v>
      </c>
    </row>
    <row r="1223" customFormat="false" ht="15" hidden="false" customHeight="false" outlineLevel="0" collapsed="false">
      <c r="A1223" s="0" t="s">
        <v>2093</v>
      </c>
      <c r="B1223" s="0" t="s">
        <v>1081</v>
      </c>
      <c r="D1223" s="46" t="n">
        <v>45706</v>
      </c>
      <c r="E1223" s="47" t="s">
        <v>53</v>
      </c>
      <c r="F1223" s="48" t="n">
        <v>115869.1</v>
      </c>
      <c r="G1223" s="47" t="s">
        <v>57</v>
      </c>
      <c r="H1223" s="47" t="s">
        <v>47</v>
      </c>
      <c r="I1223" s="47" t="s">
        <v>245</v>
      </c>
      <c r="J1223" s="47" t="s">
        <v>28</v>
      </c>
      <c r="K1223" s="47" t="s">
        <v>34</v>
      </c>
    </row>
    <row r="1224" customFormat="false" ht="15" hidden="false" customHeight="false" outlineLevel="0" collapsed="false">
      <c r="A1224" s="0" t="s">
        <v>2094</v>
      </c>
      <c r="B1224" s="0" t="s">
        <v>384</v>
      </c>
      <c r="D1224" s="46" t="n">
        <v>45835</v>
      </c>
      <c r="E1224" s="47" t="s">
        <v>58</v>
      </c>
      <c r="F1224" s="48" t="n">
        <v>153944.48</v>
      </c>
      <c r="G1224" s="47" t="s">
        <v>57</v>
      </c>
      <c r="H1224" s="47" t="s">
        <v>47</v>
      </c>
      <c r="I1224" s="47" t="s">
        <v>245</v>
      </c>
      <c r="J1224" s="47" t="s">
        <v>28</v>
      </c>
      <c r="K1224" s="47" t="s">
        <v>33</v>
      </c>
    </row>
    <row r="1225" customFormat="false" ht="15" hidden="false" customHeight="false" outlineLevel="0" collapsed="false">
      <c r="A1225" s="0" t="s">
        <v>2095</v>
      </c>
      <c r="B1225" s="0" t="s">
        <v>619</v>
      </c>
      <c r="D1225" s="46" t="n">
        <v>45670</v>
      </c>
      <c r="E1225" s="47" t="s">
        <v>60</v>
      </c>
      <c r="F1225" s="48" t="n">
        <v>21439.58</v>
      </c>
      <c r="G1225" s="47" t="s">
        <v>65</v>
      </c>
      <c r="H1225" s="47" t="s">
        <v>43</v>
      </c>
      <c r="I1225" s="47" t="s">
        <v>117</v>
      </c>
      <c r="J1225" s="47" t="s">
        <v>28</v>
      </c>
      <c r="K1225" s="47" t="s">
        <v>34</v>
      </c>
    </row>
    <row r="1226" customFormat="false" ht="15" hidden="false" customHeight="false" outlineLevel="0" collapsed="false">
      <c r="A1226" s="0" t="s">
        <v>2096</v>
      </c>
      <c r="B1226" s="0" t="s">
        <v>2097</v>
      </c>
      <c r="D1226" s="46" t="n">
        <v>46084</v>
      </c>
      <c r="E1226" s="47" t="s">
        <v>58</v>
      </c>
      <c r="F1226" s="48" t="n">
        <v>122967.24</v>
      </c>
      <c r="G1226" s="47" t="s">
        <v>68</v>
      </c>
      <c r="H1226" s="47" t="s">
        <v>40</v>
      </c>
      <c r="I1226" s="47" t="s">
        <v>89</v>
      </c>
      <c r="J1226" s="47" t="s">
        <v>28</v>
      </c>
      <c r="K1226" s="47" t="s">
        <v>34</v>
      </c>
    </row>
    <row r="1227" customFormat="false" ht="15" hidden="false" customHeight="false" outlineLevel="0" collapsed="false">
      <c r="A1227" s="0" t="s">
        <v>2098</v>
      </c>
      <c r="B1227" s="0" t="s">
        <v>2099</v>
      </c>
      <c r="D1227" s="46" t="n">
        <v>45848</v>
      </c>
      <c r="E1227" s="47" t="s">
        <v>58</v>
      </c>
      <c r="F1227" s="48" t="n">
        <v>11023.79</v>
      </c>
      <c r="G1227" s="47" t="s">
        <v>68</v>
      </c>
      <c r="H1227" s="47" t="s">
        <v>44</v>
      </c>
      <c r="I1227" s="47" t="s">
        <v>132</v>
      </c>
      <c r="J1227" s="47" t="s">
        <v>28</v>
      </c>
      <c r="K1227" s="47" t="s">
        <v>34</v>
      </c>
    </row>
    <row r="1228" customFormat="false" ht="15" hidden="false" customHeight="false" outlineLevel="0" collapsed="false">
      <c r="A1228" s="0" t="s">
        <v>2100</v>
      </c>
      <c r="B1228" s="0" t="s">
        <v>1986</v>
      </c>
      <c r="D1228" s="46" t="n">
        <v>46258</v>
      </c>
      <c r="E1228" s="47" t="s">
        <v>58</v>
      </c>
      <c r="F1228" s="48" t="n">
        <v>197008.25</v>
      </c>
      <c r="G1228" s="47" t="s">
        <v>66</v>
      </c>
      <c r="H1228" s="47" t="s">
        <v>48</v>
      </c>
      <c r="I1228" s="47" t="s">
        <v>111</v>
      </c>
      <c r="J1228" s="47" t="s">
        <v>28</v>
      </c>
      <c r="K1228" s="47" t="s">
        <v>34</v>
      </c>
    </row>
    <row r="1229" customFormat="false" ht="15" hidden="false" customHeight="false" outlineLevel="0" collapsed="false">
      <c r="A1229" s="0" t="s">
        <v>2101</v>
      </c>
      <c r="B1229" s="0" t="s">
        <v>531</v>
      </c>
      <c r="C1229" s="0" t="s">
        <v>2102</v>
      </c>
      <c r="D1229" s="46" t="n">
        <v>46038</v>
      </c>
      <c r="E1229" s="47" t="s">
        <v>58</v>
      </c>
      <c r="F1229" s="48" t="n">
        <v>169625.24</v>
      </c>
      <c r="G1229" s="47" t="s">
        <v>66</v>
      </c>
      <c r="H1229" s="47" t="s">
        <v>41</v>
      </c>
      <c r="I1229" s="47" t="s">
        <v>86</v>
      </c>
      <c r="J1229" s="47" t="s">
        <v>28</v>
      </c>
      <c r="K1229" s="47" t="s">
        <v>34</v>
      </c>
    </row>
    <row r="1230" customFormat="false" ht="15" hidden="false" customHeight="false" outlineLevel="0" collapsed="false">
      <c r="A1230" s="0" t="s">
        <v>2103</v>
      </c>
      <c r="B1230" s="0" t="s">
        <v>448</v>
      </c>
      <c r="D1230" s="46" t="n">
        <v>45756</v>
      </c>
      <c r="E1230" s="47" t="s">
        <v>62</v>
      </c>
      <c r="F1230" s="48" t="n">
        <v>88013.8</v>
      </c>
      <c r="G1230" s="47" t="s">
        <v>53</v>
      </c>
      <c r="H1230" s="47" t="s">
        <v>39</v>
      </c>
      <c r="I1230" s="47" t="s">
        <v>98</v>
      </c>
      <c r="J1230" s="47" t="s">
        <v>28</v>
      </c>
      <c r="K1230" s="47" t="s">
        <v>33</v>
      </c>
    </row>
    <row r="1231" customFormat="false" ht="15" hidden="false" customHeight="false" outlineLevel="0" collapsed="false">
      <c r="A1231" s="0" t="s">
        <v>2104</v>
      </c>
      <c r="B1231" s="0" t="s">
        <v>864</v>
      </c>
      <c r="C1231" s="0" t="s">
        <v>2105</v>
      </c>
      <c r="D1231" s="46" t="n">
        <v>46111</v>
      </c>
      <c r="E1231" s="47" t="s">
        <v>61</v>
      </c>
      <c r="F1231" s="48" t="n">
        <v>124118.06</v>
      </c>
      <c r="G1231" s="47" t="s">
        <v>68</v>
      </c>
      <c r="H1231" s="47" t="s">
        <v>43</v>
      </c>
      <c r="I1231" s="47" t="s">
        <v>201</v>
      </c>
      <c r="J1231" s="47" t="s">
        <v>28</v>
      </c>
      <c r="K1231" s="47" t="s">
        <v>33</v>
      </c>
    </row>
    <row r="1232" customFormat="false" ht="15" hidden="false" customHeight="false" outlineLevel="0" collapsed="false">
      <c r="A1232" s="0" t="s">
        <v>2106</v>
      </c>
      <c r="B1232" s="0" t="s">
        <v>1459</v>
      </c>
      <c r="C1232" s="0" t="s">
        <v>1460</v>
      </c>
      <c r="D1232" s="46" t="n">
        <v>46114</v>
      </c>
      <c r="E1232" s="47" t="s">
        <v>53</v>
      </c>
      <c r="F1232" s="48" t="n">
        <v>185808.89</v>
      </c>
      <c r="G1232" s="47" t="s">
        <v>57</v>
      </c>
      <c r="H1232" s="47" t="s">
        <v>45</v>
      </c>
      <c r="I1232" s="47" t="s">
        <v>95</v>
      </c>
      <c r="J1232" s="47" t="s">
        <v>28</v>
      </c>
      <c r="K1232" s="47" t="s">
        <v>33</v>
      </c>
    </row>
    <row r="1233" customFormat="false" ht="15" hidden="false" customHeight="false" outlineLevel="0" collapsed="false">
      <c r="A1233" s="0" t="s">
        <v>2107</v>
      </c>
      <c r="B1233" s="0" t="s">
        <v>774</v>
      </c>
      <c r="D1233" s="46" t="n">
        <v>45754</v>
      </c>
      <c r="E1233" s="47" t="s">
        <v>59</v>
      </c>
      <c r="F1233" s="48" t="n">
        <v>101946.09</v>
      </c>
      <c r="G1233" s="47" t="s">
        <v>53</v>
      </c>
      <c r="H1233" s="47" t="s">
        <v>47</v>
      </c>
      <c r="I1233" s="47" t="s">
        <v>245</v>
      </c>
      <c r="J1233" s="47" t="s">
        <v>28</v>
      </c>
      <c r="K1233" s="47" t="s">
        <v>34</v>
      </c>
    </row>
    <row r="1234" customFormat="false" ht="15" hidden="false" customHeight="false" outlineLevel="0" collapsed="false">
      <c r="A1234" s="0" t="s">
        <v>2108</v>
      </c>
      <c r="B1234" s="0" t="s">
        <v>2109</v>
      </c>
      <c r="D1234" s="46" t="n">
        <v>45674</v>
      </c>
      <c r="E1234" s="47" t="s">
        <v>60</v>
      </c>
      <c r="F1234" s="48" t="n">
        <v>66411.72</v>
      </c>
      <c r="G1234" s="47" t="s">
        <v>57</v>
      </c>
      <c r="H1234" s="47" t="s">
        <v>42</v>
      </c>
      <c r="I1234" s="47" t="s">
        <v>398</v>
      </c>
      <c r="J1234" s="47" t="s">
        <v>28</v>
      </c>
      <c r="K1234" s="47" t="s">
        <v>34</v>
      </c>
    </row>
    <row r="1235" customFormat="false" ht="15" hidden="false" customHeight="false" outlineLevel="0" collapsed="false">
      <c r="A1235" s="0" t="s">
        <v>2110</v>
      </c>
      <c r="B1235" s="0" t="s">
        <v>1273</v>
      </c>
      <c r="C1235" s="0" t="s">
        <v>2111</v>
      </c>
      <c r="D1235" s="46" t="n">
        <v>45981</v>
      </c>
      <c r="E1235" s="47" t="s">
        <v>62</v>
      </c>
      <c r="F1235" s="48" t="n">
        <v>56179.11</v>
      </c>
      <c r="G1235" s="47" t="s">
        <v>57</v>
      </c>
      <c r="H1235" s="47" t="s">
        <v>46</v>
      </c>
      <c r="I1235" s="47" t="s">
        <v>121</v>
      </c>
      <c r="J1235" s="47" t="s">
        <v>30</v>
      </c>
      <c r="K1235" s="47" t="s">
        <v>33</v>
      </c>
    </row>
    <row r="1236" customFormat="false" ht="15" hidden="false" customHeight="false" outlineLevel="0" collapsed="false">
      <c r="A1236" s="0" t="s">
        <v>2112</v>
      </c>
      <c r="B1236" s="0" t="s">
        <v>1282</v>
      </c>
      <c r="D1236" s="46" t="n">
        <v>46133</v>
      </c>
      <c r="E1236" s="47" t="s">
        <v>59</v>
      </c>
      <c r="F1236" s="48" t="n">
        <v>181908.22</v>
      </c>
      <c r="G1236" s="47" t="s">
        <v>66</v>
      </c>
      <c r="H1236" s="47" t="s">
        <v>44</v>
      </c>
      <c r="I1236" s="47" t="s">
        <v>226</v>
      </c>
      <c r="J1236" s="47" t="s">
        <v>28</v>
      </c>
      <c r="K1236" s="47" t="s">
        <v>33</v>
      </c>
    </row>
    <row r="1237" customFormat="false" ht="15" hidden="false" customHeight="false" outlineLevel="0" collapsed="false">
      <c r="A1237" s="0" t="s">
        <v>2113</v>
      </c>
      <c r="B1237" s="0" t="s">
        <v>1794</v>
      </c>
      <c r="D1237" s="46" t="n">
        <v>45917</v>
      </c>
      <c r="E1237" s="47" t="s">
        <v>53</v>
      </c>
      <c r="F1237" s="48" t="n">
        <v>188644.67</v>
      </c>
      <c r="G1237" s="47" t="s">
        <v>57</v>
      </c>
      <c r="H1237" s="47" t="s">
        <v>40</v>
      </c>
      <c r="I1237" s="47" t="s">
        <v>89</v>
      </c>
      <c r="J1237" s="47" t="s">
        <v>28</v>
      </c>
      <c r="K1237" s="47" t="s">
        <v>34</v>
      </c>
    </row>
    <row r="1238" customFormat="false" ht="15" hidden="false" customHeight="false" outlineLevel="0" collapsed="false">
      <c r="A1238" s="0" t="s">
        <v>2114</v>
      </c>
      <c r="B1238" s="0" t="s">
        <v>2115</v>
      </c>
      <c r="D1238" s="46" t="n">
        <v>45966</v>
      </c>
      <c r="E1238" s="47" t="s">
        <v>59</v>
      </c>
      <c r="F1238" s="48" t="n">
        <v>131519.16</v>
      </c>
      <c r="G1238" s="47" t="s">
        <v>65</v>
      </c>
      <c r="H1238" s="47" t="s">
        <v>41</v>
      </c>
      <c r="I1238" s="47" t="s">
        <v>272</v>
      </c>
      <c r="J1238" s="47" t="s">
        <v>28</v>
      </c>
      <c r="K1238" s="47" t="s">
        <v>33</v>
      </c>
    </row>
    <row r="1239" customFormat="false" ht="15" hidden="false" customHeight="false" outlineLevel="0" collapsed="false">
      <c r="A1239" s="0" t="s">
        <v>2116</v>
      </c>
      <c r="B1239" s="0" t="s">
        <v>400</v>
      </c>
      <c r="D1239" s="46" t="n">
        <v>45907</v>
      </c>
      <c r="E1239" s="47" t="s">
        <v>61</v>
      </c>
      <c r="F1239" s="48" t="n">
        <v>179909.97</v>
      </c>
      <c r="G1239" s="47" t="s">
        <v>68</v>
      </c>
      <c r="H1239" s="47" t="s">
        <v>42</v>
      </c>
      <c r="I1239" s="47" t="s">
        <v>137</v>
      </c>
      <c r="J1239" s="47" t="s">
        <v>28</v>
      </c>
      <c r="K1239" s="47" t="s">
        <v>33</v>
      </c>
    </row>
    <row r="1240" customFormat="false" ht="15" hidden="false" customHeight="false" outlineLevel="0" collapsed="false">
      <c r="A1240" s="0" t="s">
        <v>2117</v>
      </c>
      <c r="B1240" s="0" t="s">
        <v>2118</v>
      </c>
      <c r="D1240" s="46" t="n">
        <v>45716</v>
      </c>
      <c r="E1240" s="47" t="s">
        <v>62</v>
      </c>
      <c r="F1240" s="48" t="n">
        <v>76049.48</v>
      </c>
      <c r="G1240" s="47" t="s">
        <v>66</v>
      </c>
      <c r="H1240" s="47" t="s">
        <v>47</v>
      </c>
      <c r="I1240" s="47" t="s">
        <v>166</v>
      </c>
      <c r="J1240" s="47" t="s">
        <v>28</v>
      </c>
      <c r="K1240" s="47" t="s">
        <v>34</v>
      </c>
    </row>
    <row r="1241" customFormat="false" ht="15" hidden="false" customHeight="false" outlineLevel="0" collapsed="false">
      <c r="A1241" s="0" t="s">
        <v>2119</v>
      </c>
      <c r="B1241" s="0" t="s">
        <v>2120</v>
      </c>
      <c r="D1241" s="46" t="n">
        <v>45774</v>
      </c>
      <c r="E1241" s="47" t="s">
        <v>60</v>
      </c>
      <c r="F1241" s="48" t="n">
        <v>135276.77</v>
      </c>
      <c r="G1241" s="47" t="s">
        <v>53</v>
      </c>
      <c r="H1241" s="47" t="s">
        <v>41</v>
      </c>
      <c r="I1241" s="47" t="s">
        <v>272</v>
      </c>
      <c r="J1241" s="47" t="s">
        <v>28</v>
      </c>
      <c r="K1241" s="47" t="s">
        <v>34</v>
      </c>
    </row>
    <row r="1242" customFormat="false" ht="15" hidden="false" customHeight="false" outlineLevel="0" collapsed="false">
      <c r="A1242" s="0" t="s">
        <v>2121</v>
      </c>
      <c r="B1242" s="0" t="s">
        <v>1527</v>
      </c>
      <c r="D1242" s="46" t="n">
        <v>45704</v>
      </c>
      <c r="E1242" s="47" t="s">
        <v>58</v>
      </c>
      <c r="F1242" s="48" t="n">
        <v>90645.39</v>
      </c>
      <c r="G1242" s="47" t="s">
        <v>57</v>
      </c>
      <c r="H1242" s="47" t="s">
        <v>41</v>
      </c>
      <c r="I1242" s="47" t="s">
        <v>272</v>
      </c>
      <c r="J1242" s="47" t="s">
        <v>28</v>
      </c>
      <c r="K1242" s="47" t="s">
        <v>33</v>
      </c>
    </row>
    <row r="1243" customFormat="false" ht="15" hidden="false" customHeight="false" outlineLevel="0" collapsed="false">
      <c r="A1243" s="0" t="s">
        <v>2122</v>
      </c>
      <c r="B1243" s="0" t="s">
        <v>1399</v>
      </c>
      <c r="D1243" s="46" t="n">
        <v>45664</v>
      </c>
      <c r="E1243" s="47" t="s">
        <v>58</v>
      </c>
      <c r="F1243" s="48" t="n">
        <v>138054.24</v>
      </c>
      <c r="G1243" s="47" t="s">
        <v>66</v>
      </c>
      <c r="H1243" s="47" t="s">
        <v>45</v>
      </c>
      <c r="I1243" s="47" t="s">
        <v>217</v>
      </c>
      <c r="J1243" s="47" t="s">
        <v>28</v>
      </c>
      <c r="K1243" s="47" t="s">
        <v>34</v>
      </c>
    </row>
    <row r="1244" customFormat="false" ht="15" hidden="false" customHeight="false" outlineLevel="0" collapsed="false">
      <c r="A1244" s="0" t="s">
        <v>2123</v>
      </c>
      <c r="B1244" s="0" t="s">
        <v>1374</v>
      </c>
      <c r="D1244" s="46" t="n">
        <v>46135</v>
      </c>
      <c r="E1244" s="47" t="s">
        <v>61</v>
      </c>
      <c r="F1244" s="48" t="n">
        <v>134000</v>
      </c>
      <c r="G1244" s="47" t="s">
        <v>65</v>
      </c>
      <c r="H1244" s="47" t="s">
        <v>40</v>
      </c>
      <c r="I1244" s="47" t="s">
        <v>83</v>
      </c>
      <c r="J1244" s="47" t="s">
        <v>28</v>
      </c>
      <c r="K1244" s="47" t="s">
        <v>34</v>
      </c>
    </row>
    <row r="1245" customFormat="false" ht="15" hidden="false" customHeight="false" outlineLevel="0" collapsed="false">
      <c r="A1245" s="0" t="s">
        <v>2124</v>
      </c>
      <c r="B1245" s="0" t="s">
        <v>1785</v>
      </c>
      <c r="D1245" s="46" t="n">
        <v>45811</v>
      </c>
      <c r="E1245" s="47" t="s">
        <v>60</v>
      </c>
      <c r="F1245" s="48" t="n">
        <v>134447.94</v>
      </c>
      <c r="G1245" s="47" t="s">
        <v>68</v>
      </c>
      <c r="H1245" s="47" t="s">
        <v>43</v>
      </c>
      <c r="I1245" s="47" t="s">
        <v>201</v>
      </c>
      <c r="J1245" s="47" t="s">
        <v>28</v>
      </c>
      <c r="K1245" s="47" t="s">
        <v>34</v>
      </c>
    </row>
    <row r="1246" customFormat="false" ht="15" hidden="false" customHeight="false" outlineLevel="0" collapsed="false">
      <c r="A1246" s="0" t="s">
        <v>2125</v>
      </c>
      <c r="B1246" s="0" t="s">
        <v>639</v>
      </c>
      <c r="D1246" s="46" t="n">
        <v>46182</v>
      </c>
      <c r="E1246" s="47" t="s">
        <v>53</v>
      </c>
      <c r="F1246" s="48" t="n">
        <v>20432.15</v>
      </c>
      <c r="G1246" s="47" t="s">
        <v>53</v>
      </c>
      <c r="H1246" s="47" t="s">
        <v>45</v>
      </c>
      <c r="I1246" s="47" t="s">
        <v>95</v>
      </c>
      <c r="J1246" s="47" t="s">
        <v>28</v>
      </c>
      <c r="K1246" s="47" t="s">
        <v>33</v>
      </c>
    </row>
    <row r="1247" customFormat="false" ht="15" hidden="false" customHeight="false" outlineLevel="0" collapsed="false">
      <c r="A1247" s="0" t="s">
        <v>2126</v>
      </c>
      <c r="B1247" s="0" t="s">
        <v>388</v>
      </c>
      <c r="D1247" s="46" t="n">
        <v>45679</v>
      </c>
      <c r="E1247" s="47" t="s">
        <v>60</v>
      </c>
      <c r="F1247" s="48" t="n">
        <v>193291.37</v>
      </c>
      <c r="G1247" s="47" t="s">
        <v>66</v>
      </c>
      <c r="H1247" s="47" t="s">
        <v>41</v>
      </c>
      <c r="I1247" s="47" t="s">
        <v>272</v>
      </c>
      <c r="J1247" s="47" t="s">
        <v>28</v>
      </c>
      <c r="K1247" s="47" t="s">
        <v>34</v>
      </c>
    </row>
    <row r="1248" customFormat="false" ht="15" hidden="false" customHeight="false" outlineLevel="0" collapsed="false">
      <c r="A1248" s="0" t="s">
        <v>2127</v>
      </c>
      <c r="B1248" s="0" t="s">
        <v>1068</v>
      </c>
      <c r="C1248" s="0" t="s">
        <v>2128</v>
      </c>
      <c r="D1248" s="46" t="n">
        <v>45926</v>
      </c>
      <c r="E1248" s="47" t="s">
        <v>53</v>
      </c>
      <c r="F1248" s="48" t="n">
        <v>40990.89</v>
      </c>
      <c r="G1248" s="47" t="s">
        <v>53</v>
      </c>
      <c r="H1248" s="47" t="s">
        <v>41</v>
      </c>
      <c r="I1248" s="47" t="s">
        <v>86</v>
      </c>
      <c r="J1248" s="47" t="s">
        <v>28</v>
      </c>
      <c r="K1248" s="47" t="s">
        <v>34</v>
      </c>
    </row>
    <row r="1249" customFormat="false" ht="15" hidden="false" customHeight="false" outlineLevel="0" collapsed="false">
      <c r="A1249" s="0" t="s">
        <v>2129</v>
      </c>
      <c r="B1249" s="0" t="s">
        <v>1522</v>
      </c>
      <c r="D1249" s="46" t="n">
        <v>46074</v>
      </c>
      <c r="E1249" s="47" t="s">
        <v>61</v>
      </c>
      <c r="F1249" s="48" t="n">
        <v>153817.66</v>
      </c>
      <c r="G1249" s="47" t="s">
        <v>57</v>
      </c>
      <c r="H1249" s="47" t="s">
        <v>43</v>
      </c>
      <c r="I1249" s="47" t="s">
        <v>201</v>
      </c>
      <c r="J1249" s="47" t="s">
        <v>28</v>
      </c>
      <c r="K1249" s="47" t="s">
        <v>34</v>
      </c>
    </row>
    <row r="1250" customFormat="false" ht="15" hidden="false" customHeight="false" outlineLevel="0" collapsed="false">
      <c r="A1250" s="0" t="s">
        <v>2130</v>
      </c>
      <c r="B1250" s="0" t="s">
        <v>317</v>
      </c>
      <c r="D1250" s="46" t="n">
        <v>45821</v>
      </c>
      <c r="E1250" s="47" t="s">
        <v>60</v>
      </c>
      <c r="F1250" s="48" t="n">
        <v>91147.62</v>
      </c>
      <c r="G1250" s="47" t="s">
        <v>53</v>
      </c>
      <c r="H1250" s="47" t="s">
        <v>40</v>
      </c>
      <c r="I1250" s="47" t="s">
        <v>89</v>
      </c>
      <c r="J1250" s="47" t="s">
        <v>28</v>
      </c>
      <c r="K1250" s="47" t="s">
        <v>33</v>
      </c>
    </row>
    <row r="1251" customFormat="false" ht="15" hidden="false" customHeight="false" outlineLevel="0" collapsed="false">
      <c r="A1251" s="0" t="s">
        <v>2131</v>
      </c>
      <c r="B1251" s="0" t="s">
        <v>1696</v>
      </c>
      <c r="D1251" s="46" t="n">
        <v>45661</v>
      </c>
      <c r="E1251" s="47" t="s">
        <v>55</v>
      </c>
      <c r="F1251" s="48" t="n">
        <v>126665.37</v>
      </c>
      <c r="G1251" s="47" t="s">
        <v>57</v>
      </c>
      <c r="H1251" s="47" t="s">
        <v>45</v>
      </c>
      <c r="I1251" s="47" t="s">
        <v>95</v>
      </c>
      <c r="J1251" s="47" t="s">
        <v>30</v>
      </c>
      <c r="K1251" s="47" t="s">
        <v>33</v>
      </c>
    </row>
    <row r="1252" customFormat="false" ht="15" hidden="false" customHeight="false" outlineLevel="0" collapsed="false">
      <c r="A1252" s="0" t="s">
        <v>2132</v>
      </c>
      <c r="B1252" s="0" t="s">
        <v>1165</v>
      </c>
      <c r="D1252" s="46" t="n">
        <v>46055</v>
      </c>
      <c r="E1252" s="47" t="s">
        <v>60</v>
      </c>
      <c r="F1252" s="48" t="n">
        <v>97945.55</v>
      </c>
      <c r="G1252" s="47" t="s">
        <v>53</v>
      </c>
      <c r="H1252" s="47" t="s">
        <v>41</v>
      </c>
      <c r="I1252" s="47" t="s">
        <v>272</v>
      </c>
      <c r="J1252" s="47" t="s">
        <v>28</v>
      </c>
      <c r="K1252" s="47" t="s">
        <v>34</v>
      </c>
    </row>
    <row r="1253" customFormat="false" ht="15" hidden="false" customHeight="false" outlineLevel="0" collapsed="false">
      <c r="A1253" s="0" t="s">
        <v>2133</v>
      </c>
      <c r="B1253" s="0" t="s">
        <v>2007</v>
      </c>
      <c r="D1253" s="46" t="n">
        <v>46249</v>
      </c>
      <c r="E1253" s="47" t="s">
        <v>61</v>
      </c>
      <c r="F1253" s="48" t="n">
        <v>19756.11</v>
      </c>
      <c r="G1253" s="47" t="s">
        <v>65</v>
      </c>
      <c r="H1253" s="47" t="s">
        <v>47</v>
      </c>
      <c r="I1253" s="47" t="s">
        <v>245</v>
      </c>
      <c r="J1253" s="47" t="s">
        <v>29</v>
      </c>
      <c r="K1253" s="47" t="s">
        <v>33</v>
      </c>
    </row>
    <row r="1254" customFormat="false" ht="15" hidden="false" customHeight="false" outlineLevel="0" collapsed="false">
      <c r="A1254" s="0" t="s">
        <v>2134</v>
      </c>
      <c r="B1254" s="0" t="s">
        <v>544</v>
      </c>
      <c r="D1254" s="46" t="n">
        <v>45707</v>
      </c>
      <c r="E1254" s="47" t="s">
        <v>58</v>
      </c>
      <c r="F1254" s="48" t="n">
        <v>191608.69</v>
      </c>
      <c r="G1254" s="47" t="s">
        <v>65</v>
      </c>
      <c r="H1254" s="47" t="s">
        <v>44</v>
      </c>
      <c r="I1254" s="47" t="s">
        <v>80</v>
      </c>
      <c r="J1254" s="47" t="s">
        <v>28</v>
      </c>
      <c r="K1254" s="47" t="s">
        <v>34</v>
      </c>
    </row>
    <row r="1255" customFormat="false" ht="15" hidden="false" customHeight="false" outlineLevel="0" collapsed="false">
      <c r="A1255" s="0" t="s">
        <v>2135</v>
      </c>
      <c r="B1255" s="0" t="s">
        <v>944</v>
      </c>
      <c r="D1255" s="46" t="n">
        <v>45963</v>
      </c>
      <c r="E1255" s="47" t="s">
        <v>60</v>
      </c>
      <c r="F1255" s="48" t="n">
        <v>143775.77</v>
      </c>
      <c r="G1255" s="47" t="s">
        <v>65</v>
      </c>
      <c r="H1255" s="47" t="s">
        <v>45</v>
      </c>
      <c r="I1255" s="47" t="s">
        <v>217</v>
      </c>
      <c r="J1255" s="47" t="s">
        <v>28</v>
      </c>
      <c r="K1255" s="47" t="s">
        <v>33</v>
      </c>
    </row>
    <row r="1256" customFormat="false" ht="15" hidden="false" customHeight="false" outlineLevel="0" collapsed="false">
      <c r="A1256" s="0" t="s">
        <v>2136</v>
      </c>
      <c r="B1256" s="0" t="s">
        <v>952</v>
      </c>
      <c r="C1256" s="0" t="s">
        <v>1217</v>
      </c>
      <c r="D1256" s="46" t="n">
        <v>46216</v>
      </c>
      <c r="E1256" s="47" t="s">
        <v>58</v>
      </c>
      <c r="F1256" s="48" t="n">
        <v>47062.73</v>
      </c>
      <c r="G1256" s="47" t="s">
        <v>57</v>
      </c>
      <c r="H1256" s="47" t="s">
        <v>40</v>
      </c>
      <c r="I1256" s="47" t="s">
        <v>89</v>
      </c>
      <c r="J1256" s="47" t="s">
        <v>28</v>
      </c>
      <c r="K1256" s="47" t="s">
        <v>33</v>
      </c>
    </row>
    <row r="1257" customFormat="false" ht="15" hidden="false" customHeight="false" outlineLevel="0" collapsed="false">
      <c r="A1257" s="0" t="s">
        <v>2137</v>
      </c>
      <c r="B1257" s="0" t="s">
        <v>718</v>
      </c>
      <c r="D1257" s="46" t="n">
        <v>45710</v>
      </c>
      <c r="E1257" s="47" t="s">
        <v>60</v>
      </c>
      <c r="F1257" s="48" t="n">
        <v>108480.5</v>
      </c>
      <c r="G1257" s="47" t="s">
        <v>57</v>
      </c>
      <c r="H1257" s="47" t="s">
        <v>42</v>
      </c>
      <c r="I1257" s="47" t="s">
        <v>398</v>
      </c>
      <c r="J1257" s="47" t="s">
        <v>28</v>
      </c>
      <c r="K1257" s="47" t="s">
        <v>34</v>
      </c>
    </row>
    <row r="1258" customFormat="false" ht="15" hidden="false" customHeight="false" outlineLevel="0" collapsed="false">
      <c r="A1258" s="0" t="s">
        <v>2138</v>
      </c>
      <c r="B1258" s="0" t="s">
        <v>168</v>
      </c>
      <c r="D1258" s="46" t="n">
        <v>45704</v>
      </c>
      <c r="E1258" s="47" t="s">
        <v>61</v>
      </c>
      <c r="F1258" s="48" t="n">
        <v>1978.53</v>
      </c>
      <c r="G1258" s="47" t="s">
        <v>57</v>
      </c>
      <c r="H1258" s="47" t="s">
        <v>43</v>
      </c>
      <c r="I1258" s="47" t="s">
        <v>117</v>
      </c>
      <c r="J1258" s="47" t="s">
        <v>28</v>
      </c>
      <c r="K1258" s="47" t="s">
        <v>34</v>
      </c>
    </row>
    <row r="1259" customFormat="false" ht="15" hidden="false" customHeight="false" outlineLevel="0" collapsed="false">
      <c r="A1259" s="0" t="s">
        <v>2139</v>
      </c>
      <c r="B1259" s="0" t="s">
        <v>2099</v>
      </c>
      <c r="D1259" s="46" t="n">
        <v>45917</v>
      </c>
      <c r="E1259" s="47" t="s">
        <v>58</v>
      </c>
      <c r="F1259" s="48" t="n">
        <v>142666.82</v>
      </c>
      <c r="G1259" s="47" t="s">
        <v>68</v>
      </c>
      <c r="H1259" s="47" t="s">
        <v>44</v>
      </c>
      <c r="I1259" s="47" t="s">
        <v>132</v>
      </c>
      <c r="J1259" s="47" t="s">
        <v>28</v>
      </c>
      <c r="K1259" s="47" t="s">
        <v>34</v>
      </c>
    </row>
    <row r="1260" customFormat="false" ht="15" hidden="false" customHeight="false" outlineLevel="0" collapsed="false">
      <c r="A1260" s="0" t="s">
        <v>2140</v>
      </c>
      <c r="B1260" s="0" t="s">
        <v>2141</v>
      </c>
      <c r="D1260" s="46" t="n">
        <v>46222</v>
      </c>
      <c r="E1260" s="47" t="s">
        <v>58</v>
      </c>
      <c r="F1260" s="48" t="n">
        <v>28608.01</v>
      </c>
      <c r="G1260" s="47" t="s">
        <v>68</v>
      </c>
      <c r="H1260" s="47" t="s">
        <v>40</v>
      </c>
      <c r="I1260" s="47" t="s">
        <v>89</v>
      </c>
      <c r="J1260" s="47" t="s">
        <v>29</v>
      </c>
      <c r="K1260" s="47" t="s">
        <v>33</v>
      </c>
    </row>
    <row r="1261" customFormat="false" ht="15" hidden="false" customHeight="false" outlineLevel="0" collapsed="false">
      <c r="A1261" s="0" t="s">
        <v>2142</v>
      </c>
      <c r="B1261" s="0" t="s">
        <v>297</v>
      </c>
      <c r="D1261" s="46" t="n">
        <v>46056</v>
      </c>
      <c r="E1261" s="47" t="s">
        <v>62</v>
      </c>
      <c r="F1261" s="48" t="n">
        <v>11704.66</v>
      </c>
      <c r="G1261" s="47" t="s">
        <v>66</v>
      </c>
      <c r="H1261" s="47" t="s">
        <v>39</v>
      </c>
      <c r="I1261" s="47" t="s">
        <v>145</v>
      </c>
      <c r="J1261" s="47" t="s">
        <v>29</v>
      </c>
      <c r="K1261" s="47" t="s">
        <v>33</v>
      </c>
    </row>
    <row r="1262" customFormat="false" ht="15" hidden="false" customHeight="false" outlineLevel="0" collapsed="false">
      <c r="A1262" s="0" t="s">
        <v>2143</v>
      </c>
      <c r="B1262" s="0" t="s">
        <v>1254</v>
      </c>
      <c r="D1262" s="46" t="n">
        <v>46126</v>
      </c>
      <c r="E1262" s="47" t="s">
        <v>61</v>
      </c>
      <c r="F1262" s="48" t="n">
        <v>126950.26</v>
      </c>
      <c r="G1262" s="47" t="s">
        <v>57</v>
      </c>
      <c r="H1262" s="47" t="s">
        <v>44</v>
      </c>
      <c r="I1262" s="47" t="s">
        <v>226</v>
      </c>
      <c r="J1262" s="47" t="s">
        <v>28</v>
      </c>
      <c r="K1262" s="47" t="s">
        <v>34</v>
      </c>
    </row>
    <row r="1263" customFormat="false" ht="15" hidden="false" customHeight="false" outlineLevel="0" collapsed="false">
      <c r="A1263" s="0" t="s">
        <v>2144</v>
      </c>
      <c r="B1263" s="0" t="s">
        <v>1556</v>
      </c>
      <c r="C1263" s="0" t="s">
        <v>2145</v>
      </c>
      <c r="D1263" s="46" t="n">
        <v>46109</v>
      </c>
      <c r="E1263" s="47" t="s">
        <v>58</v>
      </c>
      <c r="F1263" s="48" t="n">
        <v>143013.44</v>
      </c>
      <c r="G1263" s="47" t="s">
        <v>66</v>
      </c>
      <c r="H1263" s="47" t="s">
        <v>47</v>
      </c>
      <c r="I1263" s="47" t="s">
        <v>166</v>
      </c>
      <c r="J1263" s="47" t="s">
        <v>28</v>
      </c>
      <c r="K1263" s="47" t="s">
        <v>33</v>
      </c>
    </row>
    <row r="1264" customFormat="false" ht="15" hidden="false" customHeight="false" outlineLevel="0" collapsed="false">
      <c r="A1264" s="0" t="s">
        <v>2146</v>
      </c>
      <c r="B1264" s="0" t="s">
        <v>969</v>
      </c>
      <c r="D1264" s="46" t="n">
        <v>45767</v>
      </c>
      <c r="E1264" s="47" t="s">
        <v>62</v>
      </c>
      <c r="F1264" s="48" t="n">
        <v>4367.89</v>
      </c>
      <c r="G1264" s="47" t="s">
        <v>68</v>
      </c>
      <c r="H1264" s="47" t="s">
        <v>46</v>
      </c>
      <c r="I1264" s="47" t="s">
        <v>148</v>
      </c>
      <c r="J1264" s="47" t="s">
        <v>28</v>
      </c>
      <c r="K1264" s="47" t="s">
        <v>34</v>
      </c>
    </row>
    <row r="1265" customFormat="false" ht="15" hidden="false" customHeight="false" outlineLevel="0" collapsed="false">
      <c r="A1265" s="0" t="s">
        <v>2147</v>
      </c>
      <c r="B1265" s="0" t="s">
        <v>2148</v>
      </c>
      <c r="D1265" s="46" t="n">
        <v>45788</v>
      </c>
      <c r="E1265" s="47" t="s">
        <v>59</v>
      </c>
      <c r="F1265" s="48" t="n">
        <v>5156.95</v>
      </c>
      <c r="G1265" s="47" t="s">
        <v>65</v>
      </c>
      <c r="H1265" s="47" t="s">
        <v>41</v>
      </c>
      <c r="I1265" s="47" t="s">
        <v>272</v>
      </c>
      <c r="J1265" s="47" t="s">
        <v>28</v>
      </c>
      <c r="K1265" s="47" t="s">
        <v>33</v>
      </c>
    </row>
    <row r="1266" customFormat="false" ht="15" hidden="false" customHeight="false" outlineLevel="0" collapsed="false">
      <c r="A1266" s="0" t="s">
        <v>2149</v>
      </c>
      <c r="B1266" s="0" t="s">
        <v>1794</v>
      </c>
      <c r="D1266" s="46" t="n">
        <v>45917</v>
      </c>
      <c r="E1266" s="47" t="s">
        <v>62</v>
      </c>
      <c r="F1266" s="48" t="n">
        <v>96535.7</v>
      </c>
      <c r="G1266" s="47" t="s">
        <v>66</v>
      </c>
      <c r="H1266" s="47" t="s">
        <v>40</v>
      </c>
      <c r="I1266" s="47" t="s">
        <v>89</v>
      </c>
      <c r="J1266" s="47" t="s">
        <v>28</v>
      </c>
      <c r="K1266" s="47" t="s">
        <v>33</v>
      </c>
    </row>
    <row r="1267" customFormat="false" ht="15" hidden="false" customHeight="false" outlineLevel="0" collapsed="false">
      <c r="A1267" s="0" t="s">
        <v>2150</v>
      </c>
      <c r="B1267" s="0" t="s">
        <v>2151</v>
      </c>
      <c r="D1267" s="46" t="n">
        <v>46264</v>
      </c>
      <c r="E1267" s="47" t="s">
        <v>62</v>
      </c>
      <c r="F1267" s="48" t="n">
        <v>122154.13</v>
      </c>
      <c r="G1267" s="47" t="s">
        <v>68</v>
      </c>
      <c r="H1267" s="47" t="s">
        <v>41</v>
      </c>
      <c r="I1267" s="47" t="s">
        <v>86</v>
      </c>
      <c r="J1267" s="47" t="s">
        <v>28</v>
      </c>
      <c r="K1267" s="47" t="s">
        <v>34</v>
      </c>
    </row>
    <row r="1268" customFormat="false" ht="15" hidden="false" customHeight="false" outlineLevel="0" collapsed="false">
      <c r="A1268" s="0" t="s">
        <v>2152</v>
      </c>
      <c r="B1268" s="0" t="s">
        <v>2153</v>
      </c>
      <c r="D1268" s="46" t="n">
        <v>45685</v>
      </c>
      <c r="E1268" s="47" t="s">
        <v>61</v>
      </c>
      <c r="F1268" s="48" t="n">
        <v>85338.88</v>
      </c>
      <c r="G1268" s="47" t="s">
        <v>53</v>
      </c>
      <c r="H1268" s="47" t="s">
        <v>39</v>
      </c>
      <c r="I1268" s="47" t="s">
        <v>145</v>
      </c>
      <c r="J1268" s="47" t="s">
        <v>28</v>
      </c>
      <c r="K1268" s="47" t="s">
        <v>33</v>
      </c>
    </row>
    <row r="1269" customFormat="false" ht="15" hidden="false" customHeight="false" outlineLevel="0" collapsed="false">
      <c r="A1269" s="0" t="s">
        <v>2154</v>
      </c>
      <c r="B1269" s="0" t="s">
        <v>1097</v>
      </c>
      <c r="D1269" s="46" t="n">
        <v>45725</v>
      </c>
      <c r="E1269" s="47" t="s">
        <v>55</v>
      </c>
      <c r="F1269" s="48" t="n">
        <v>176666.18</v>
      </c>
      <c r="G1269" s="47" t="s">
        <v>66</v>
      </c>
      <c r="H1269" s="47" t="s">
        <v>47</v>
      </c>
      <c r="I1269" s="47" t="s">
        <v>108</v>
      </c>
      <c r="J1269" s="47" t="s">
        <v>28</v>
      </c>
      <c r="K1269" s="47" t="s">
        <v>34</v>
      </c>
    </row>
    <row r="1270" customFormat="false" ht="15" hidden="false" customHeight="false" outlineLevel="0" collapsed="false">
      <c r="A1270" s="0" t="s">
        <v>2155</v>
      </c>
      <c r="B1270" s="0" t="s">
        <v>1350</v>
      </c>
      <c r="C1270" s="0" t="s">
        <v>2156</v>
      </c>
      <c r="D1270" s="46" t="n">
        <v>45990</v>
      </c>
      <c r="E1270" s="47" t="s">
        <v>62</v>
      </c>
      <c r="F1270" s="48" t="n">
        <v>101846.94</v>
      </c>
      <c r="G1270" s="47" t="s">
        <v>66</v>
      </c>
      <c r="H1270" s="47" t="s">
        <v>40</v>
      </c>
      <c r="I1270" s="47" t="s">
        <v>83</v>
      </c>
      <c r="J1270" s="47" t="s">
        <v>28</v>
      </c>
      <c r="K1270" s="47" t="s">
        <v>33</v>
      </c>
    </row>
    <row r="1271" customFormat="false" ht="15" hidden="false" customHeight="false" outlineLevel="0" collapsed="false">
      <c r="A1271" s="0" t="s">
        <v>2157</v>
      </c>
      <c r="B1271" s="0" t="s">
        <v>997</v>
      </c>
      <c r="D1271" s="46" t="n">
        <v>45784</v>
      </c>
      <c r="E1271" s="47" t="s">
        <v>59</v>
      </c>
      <c r="F1271" s="48" t="n">
        <v>173945.95</v>
      </c>
      <c r="G1271" s="47" t="s">
        <v>65</v>
      </c>
      <c r="H1271" s="47" t="s">
        <v>39</v>
      </c>
      <c r="I1271" s="47" t="s">
        <v>98</v>
      </c>
      <c r="J1271" s="47" t="s">
        <v>30</v>
      </c>
      <c r="K1271" s="47" t="s">
        <v>33</v>
      </c>
    </row>
    <row r="1272" customFormat="false" ht="15" hidden="false" customHeight="false" outlineLevel="0" collapsed="false">
      <c r="A1272" s="0" t="s">
        <v>2158</v>
      </c>
      <c r="B1272" s="0" t="s">
        <v>2159</v>
      </c>
      <c r="D1272" s="46" t="n">
        <v>45899</v>
      </c>
      <c r="E1272" s="47" t="s">
        <v>61</v>
      </c>
      <c r="F1272" s="48" t="n">
        <v>64196.33</v>
      </c>
      <c r="G1272" s="47" t="s">
        <v>65</v>
      </c>
      <c r="H1272" s="47" t="s">
        <v>48</v>
      </c>
      <c r="I1272" s="47" t="s">
        <v>114</v>
      </c>
      <c r="J1272" s="47" t="s">
        <v>28</v>
      </c>
      <c r="K1272" s="47" t="s">
        <v>34</v>
      </c>
    </row>
    <row r="1273" customFormat="false" ht="15" hidden="false" customHeight="false" outlineLevel="0" collapsed="false">
      <c r="A1273" s="0" t="s">
        <v>2160</v>
      </c>
      <c r="B1273" s="0" t="s">
        <v>2068</v>
      </c>
      <c r="D1273" s="46" t="n">
        <v>45977</v>
      </c>
      <c r="E1273" s="47" t="s">
        <v>53</v>
      </c>
      <c r="F1273" s="48" t="n">
        <v>43268.46</v>
      </c>
      <c r="G1273" s="47" t="s">
        <v>66</v>
      </c>
      <c r="H1273" s="47" t="s">
        <v>41</v>
      </c>
      <c r="I1273" s="47" t="s">
        <v>293</v>
      </c>
      <c r="J1273" s="47" t="s">
        <v>29</v>
      </c>
      <c r="K1273" s="47" t="s">
        <v>34</v>
      </c>
    </row>
    <row r="1274" customFormat="false" ht="15" hidden="false" customHeight="false" outlineLevel="0" collapsed="false">
      <c r="A1274" s="0" t="s">
        <v>2161</v>
      </c>
      <c r="B1274" s="0" t="s">
        <v>129</v>
      </c>
      <c r="C1274" s="0" t="s">
        <v>2162</v>
      </c>
      <c r="D1274" s="46" t="n">
        <v>46066</v>
      </c>
      <c r="E1274" s="47" t="s">
        <v>60</v>
      </c>
      <c r="F1274" s="48" t="n">
        <v>108822.63</v>
      </c>
      <c r="G1274" s="47" t="s">
        <v>68</v>
      </c>
      <c r="H1274" s="47" t="s">
        <v>45</v>
      </c>
      <c r="I1274" s="47" t="s">
        <v>95</v>
      </c>
      <c r="J1274" s="47" t="s">
        <v>28</v>
      </c>
      <c r="K1274" s="47" t="s">
        <v>34</v>
      </c>
    </row>
    <row r="1275" customFormat="false" ht="15" hidden="false" customHeight="false" outlineLevel="0" collapsed="false">
      <c r="A1275" s="0" t="s">
        <v>2163</v>
      </c>
      <c r="B1275" s="0" t="s">
        <v>1012</v>
      </c>
      <c r="D1275" s="46" t="n">
        <v>45994</v>
      </c>
      <c r="E1275" s="47" t="s">
        <v>55</v>
      </c>
      <c r="F1275" s="48" t="n">
        <v>187013.99</v>
      </c>
      <c r="G1275" s="47" t="s">
        <v>57</v>
      </c>
      <c r="H1275" s="47" t="s">
        <v>47</v>
      </c>
      <c r="I1275" s="47" t="s">
        <v>166</v>
      </c>
      <c r="J1275" s="47" t="s">
        <v>28</v>
      </c>
      <c r="K1275" s="47" t="s">
        <v>34</v>
      </c>
    </row>
    <row r="1276" customFormat="false" ht="15" hidden="false" customHeight="false" outlineLevel="0" collapsed="false">
      <c r="A1276" s="0" t="s">
        <v>2164</v>
      </c>
      <c r="B1276" s="0" t="s">
        <v>413</v>
      </c>
      <c r="D1276" s="46" t="n">
        <v>46052</v>
      </c>
      <c r="E1276" s="47" t="s">
        <v>61</v>
      </c>
      <c r="F1276" s="48" t="n">
        <v>31650.15</v>
      </c>
      <c r="G1276" s="47" t="s">
        <v>68</v>
      </c>
      <c r="H1276" s="47" t="s">
        <v>47</v>
      </c>
      <c r="I1276" s="47" t="s">
        <v>166</v>
      </c>
      <c r="J1276" s="47" t="s">
        <v>28</v>
      </c>
      <c r="K1276" s="47" t="s">
        <v>33</v>
      </c>
    </row>
    <row r="1277" customFormat="false" ht="15" hidden="false" customHeight="false" outlineLevel="0" collapsed="false">
      <c r="A1277" s="0" t="s">
        <v>2165</v>
      </c>
      <c r="B1277" s="0" t="s">
        <v>1641</v>
      </c>
      <c r="D1277" s="46" t="n">
        <v>45961</v>
      </c>
      <c r="E1277" s="47" t="s">
        <v>53</v>
      </c>
      <c r="F1277" s="48" t="n">
        <v>33765.77</v>
      </c>
      <c r="G1277" s="47" t="s">
        <v>65</v>
      </c>
      <c r="H1277" s="47" t="s">
        <v>48</v>
      </c>
      <c r="I1277" s="47" t="s">
        <v>212</v>
      </c>
      <c r="J1277" s="47" t="s">
        <v>28</v>
      </c>
      <c r="K1277" s="47" t="s">
        <v>34</v>
      </c>
    </row>
    <row r="1278" customFormat="false" ht="15" hidden="false" customHeight="false" outlineLevel="0" collapsed="false">
      <c r="A1278" s="0" t="s">
        <v>2166</v>
      </c>
      <c r="B1278" s="0" t="s">
        <v>1074</v>
      </c>
      <c r="D1278" s="46" t="n">
        <v>45876</v>
      </c>
      <c r="E1278" s="47" t="s">
        <v>55</v>
      </c>
      <c r="F1278" s="48" t="n">
        <v>28250.3</v>
      </c>
      <c r="G1278" s="47" t="s">
        <v>68</v>
      </c>
      <c r="H1278" s="47" t="s">
        <v>41</v>
      </c>
      <c r="I1278" s="47" t="s">
        <v>272</v>
      </c>
      <c r="J1278" s="47" t="s">
        <v>28</v>
      </c>
      <c r="K1278" s="47" t="s">
        <v>34</v>
      </c>
    </row>
    <row r="1279" customFormat="false" ht="15" hidden="false" customHeight="false" outlineLevel="0" collapsed="false">
      <c r="A1279" s="0" t="s">
        <v>2167</v>
      </c>
      <c r="B1279" s="0" t="s">
        <v>352</v>
      </c>
      <c r="C1279" s="0" t="s">
        <v>2168</v>
      </c>
      <c r="D1279" s="46" t="n">
        <v>45915</v>
      </c>
      <c r="E1279" s="47" t="s">
        <v>60</v>
      </c>
      <c r="F1279" s="48" t="n">
        <v>110905.14</v>
      </c>
      <c r="G1279" s="47" t="s">
        <v>66</v>
      </c>
      <c r="H1279" s="47" t="s">
        <v>45</v>
      </c>
      <c r="I1279" s="47" t="s">
        <v>217</v>
      </c>
      <c r="J1279" s="47" t="s">
        <v>28</v>
      </c>
      <c r="K1279" s="47" t="s">
        <v>33</v>
      </c>
    </row>
    <row r="1280" customFormat="false" ht="15" hidden="false" customHeight="false" outlineLevel="0" collapsed="false">
      <c r="A1280" s="0" t="s">
        <v>2169</v>
      </c>
      <c r="B1280" s="0" t="s">
        <v>767</v>
      </c>
      <c r="D1280" s="46" t="n">
        <v>46104</v>
      </c>
      <c r="E1280" s="47" t="s">
        <v>62</v>
      </c>
      <c r="F1280" s="48" t="n">
        <v>131204.74</v>
      </c>
      <c r="G1280" s="47" t="s">
        <v>66</v>
      </c>
      <c r="H1280" s="47" t="s">
        <v>46</v>
      </c>
      <c r="I1280" s="47" t="s">
        <v>148</v>
      </c>
      <c r="J1280" s="47" t="s">
        <v>28</v>
      </c>
      <c r="K1280" s="47" t="s">
        <v>34</v>
      </c>
    </row>
    <row r="1281" customFormat="false" ht="15" hidden="false" customHeight="false" outlineLevel="0" collapsed="false">
      <c r="A1281" s="0" t="s">
        <v>2170</v>
      </c>
      <c r="B1281" s="0" t="s">
        <v>917</v>
      </c>
      <c r="D1281" s="46" t="n">
        <v>46126</v>
      </c>
      <c r="E1281" s="47" t="s">
        <v>62</v>
      </c>
      <c r="F1281" s="48" t="n">
        <v>41143.95</v>
      </c>
      <c r="G1281" s="47" t="s">
        <v>68</v>
      </c>
      <c r="H1281" s="47" t="s">
        <v>47</v>
      </c>
      <c r="I1281" s="47" t="s">
        <v>166</v>
      </c>
      <c r="J1281" s="47" t="s">
        <v>28</v>
      </c>
      <c r="K1281" s="47" t="s">
        <v>33</v>
      </c>
    </row>
    <row r="1282" customFormat="false" ht="15" hidden="false" customHeight="false" outlineLevel="0" collapsed="false">
      <c r="A1282" s="0" t="s">
        <v>2171</v>
      </c>
      <c r="B1282" s="0" t="s">
        <v>597</v>
      </c>
      <c r="D1282" s="46" t="n">
        <v>45939</v>
      </c>
      <c r="E1282" s="47" t="s">
        <v>61</v>
      </c>
      <c r="F1282" s="48" t="n">
        <v>63687.86</v>
      </c>
      <c r="G1282" s="47" t="s">
        <v>57</v>
      </c>
      <c r="H1282" s="47" t="s">
        <v>39</v>
      </c>
      <c r="I1282" s="47" t="s">
        <v>98</v>
      </c>
      <c r="J1282" s="47" t="s">
        <v>29</v>
      </c>
      <c r="K1282" s="47" t="s">
        <v>33</v>
      </c>
    </row>
    <row r="1283" customFormat="false" ht="15" hidden="false" customHeight="false" outlineLevel="0" collapsed="false">
      <c r="A1283" s="0" t="s">
        <v>2172</v>
      </c>
      <c r="B1283" s="0" t="s">
        <v>216</v>
      </c>
      <c r="D1283" s="46" t="n">
        <v>45673</v>
      </c>
      <c r="E1283" s="47" t="s">
        <v>53</v>
      </c>
      <c r="F1283" s="48" t="n">
        <v>103283.13</v>
      </c>
      <c r="G1283" s="47" t="s">
        <v>65</v>
      </c>
      <c r="H1283" s="47" t="s">
        <v>45</v>
      </c>
      <c r="I1283" s="47" t="s">
        <v>217</v>
      </c>
      <c r="J1283" s="47" t="s">
        <v>28</v>
      </c>
      <c r="K1283" s="47" t="s">
        <v>33</v>
      </c>
    </row>
    <row r="1284" customFormat="false" ht="15" hidden="false" customHeight="false" outlineLevel="0" collapsed="false">
      <c r="A1284" s="0" t="s">
        <v>2173</v>
      </c>
      <c r="B1284" s="0" t="s">
        <v>1180</v>
      </c>
      <c r="D1284" s="46" t="n">
        <v>45781</v>
      </c>
      <c r="E1284" s="47" t="s">
        <v>53</v>
      </c>
      <c r="F1284" s="48" t="n">
        <v>2358.23</v>
      </c>
      <c r="G1284" s="47" t="s">
        <v>65</v>
      </c>
      <c r="H1284" s="47" t="s">
        <v>44</v>
      </c>
      <c r="I1284" s="47" t="s">
        <v>226</v>
      </c>
      <c r="J1284" s="47" t="s">
        <v>30</v>
      </c>
      <c r="K1284" s="47" t="s">
        <v>33</v>
      </c>
    </row>
    <row r="1285" customFormat="false" ht="15" hidden="false" customHeight="false" outlineLevel="0" collapsed="false">
      <c r="A1285" s="0" t="s">
        <v>2174</v>
      </c>
      <c r="B1285" s="0" t="s">
        <v>1612</v>
      </c>
      <c r="D1285" s="46" t="n">
        <v>45997</v>
      </c>
      <c r="E1285" s="47" t="s">
        <v>60</v>
      </c>
      <c r="F1285" s="48" t="n">
        <v>73099.31</v>
      </c>
      <c r="G1285" s="47" t="s">
        <v>68</v>
      </c>
      <c r="H1285" s="47" t="s">
        <v>41</v>
      </c>
      <c r="I1285" s="47" t="s">
        <v>293</v>
      </c>
      <c r="J1285" s="47" t="s">
        <v>29</v>
      </c>
      <c r="K1285" s="47" t="s">
        <v>34</v>
      </c>
    </row>
    <row r="1286" customFormat="false" ht="15" hidden="false" customHeight="false" outlineLevel="0" collapsed="false">
      <c r="A1286" s="0" t="s">
        <v>2175</v>
      </c>
      <c r="B1286" s="0" t="s">
        <v>116</v>
      </c>
      <c r="D1286" s="46" t="n">
        <v>45972</v>
      </c>
      <c r="E1286" s="47" t="s">
        <v>61</v>
      </c>
      <c r="F1286" s="48" t="n">
        <v>144562.44</v>
      </c>
      <c r="G1286" s="47" t="s">
        <v>53</v>
      </c>
      <c r="H1286" s="47" t="s">
        <v>43</v>
      </c>
      <c r="I1286" s="47" t="s">
        <v>117</v>
      </c>
      <c r="J1286" s="47" t="s">
        <v>28</v>
      </c>
      <c r="K1286" s="47" t="s">
        <v>33</v>
      </c>
    </row>
    <row r="1287" customFormat="false" ht="15" hidden="false" customHeight="false" outlineLevel="0" collapsed="false">
      <c r="A1287" s="0" t="s">
        <v>2176</v>
      </c>
      <c r="B1287" s="0" t="s">
        <v>1524</v>
      </c>
      <c r="D1287" s="46" t="n">
        <v>46195</v>
      </c>
      <c r="E1287" s="47" t="s">
        <v>61</v>
      </c>
      <c r="F1287" s="48" t="n">
        <v>138390.3</v>
      </c>
      <c r="G1287" s="47" t="s">
        <v>65</v>
      </c>
      <c r="H1287" s="47" t="s">
        <v>40</v>
      </c>
      <c r="I1287" s="47" t="s">
        <v>89</v>
      </c>
      <c r="J1287" s="47" t="s">
        <v>28</v>
      </c>
      <c r="K1287" s="47" t="s">
        <v>33</v>
      </c>
    </row>
    <row r="1288" customFormat="false" ht="15" hidden="false" customHeight="false" outlineLevel="0" collapsed="false">
      <c r="A1288" s="0" t="s">
        <v>2177</v>
      </c>
      <c r="B1288" s="0" t="s">
        <v>2178</v>
      </c>
      <c r="D1288" s="46" t="n">
        <v>45980</v>
      </c>
      <c r="E1288" s="47" t="s">
        <v>58</v>
      </c>
      <c r="F1288" s="48" t="n">
        <v>8065.33</v>
      </c>
      <c r="G1288" s="47" t="s">
        <v>57</v>
      </c>
      <c r="H1288" s="47" t="s">
        <v>39</v>
      </c>
      <c r="I1288" s="47" t="s">
        <v>177</v>
      </c>
      <c r="J1288" s="47" t="s">
        <v>28</v>
      </c>
      <c r="K1288" s="47" t="s">
        <v>34</v>
      </c>
    </row>
    <row r="1289" customFormat="false" ht="15" hidden="false" customHeight="false" outlineLevel="0" collapsed="false">
      <c r="A1289" s="0" t="s">
        <v>2179</v>
      </c>
      <c r="B1289" s="0" t="s">
        <v>2180</v>
      </c>
      <c r="D1289" s="46" t="n">
        <v>45810</v>
      </c>
      <c r="E1289" s="47" t="s">
        <v>58</v>
      </c>
      <c r="F1289" s="48" t="n">
        <v>57489.55</v>
      </c>
      <c r="G1289" s="47" t="s">
        <v>66</v>
      </c>
      <c r="H1289" s="47" t="s">
        <v>47</v>
      </c>
      <c r="I1289" s="47" t="s">
        <v>166</v>
      </c>
      <c r="J1289" s="47" t="s">
        <v>28</v>
      </c>
      <c r="K1289" s="47" t="s">
        <v>34</v>
      </c>
    </row>
    <row r="1290" customFormat="false" ht="15" hidden="false" customHeight="false" outlineLevel="0" collapsed="false">
      <c r="A1290" s="0" t="s">
        <v>2181</v>
      </c>
      <c r="B1290" s="0" t="s">
        <v>79</v>
      </c>
      <c r="D1290" s="46" t="n">
        <v>46232</v>
      </c>
      <c r="E1290" s="47" t="s">
        <v>61</v>
      </c>
      <c r="F1290" s="48" t="n">
        <v>155450.15</v>
      </c>
      <c r="G1290" s="47" t="s">
        <v>57</v>
      </c>
      <c r="H1290" s="47" t="s">
        <v>44</v>
      </c>
      <c r="I1290" s="47" t="s">
        <v>80</v>
      </c>
      <c r="J1290" s="47" t="s">
        <v>28</v>
      </c>
      <c r="K1290" s="47" t="s">
        <v>33</v>
      </c>
    </row>
    <row r="1291" customFormat="false" ht="15" hidden="false" customHeight="false" outlineLevel="0" collapsed="false">
      <c r="A1291" s="0" t="s">
        <v>2182</v>
      </c>
      <c r="B1291" s="0" t="s">
        <v>730</v>
      </c>
      <c r="D1291" s="46" t="n">
        <v>45671</v>
      </c>
      <c r="E1291" s="47" t="s">
        <v>55</v>
      </c>
      <c r="F1291" s="48" t="n">
        <v>67032.87</v>
      </c>
      <c r="G1291" s="47" t="s">
        <v>65</v>
      </c>
      <c r="H1291" s="47" t="s">
        <v>48</v>
      </c>
      <c r="I1291" s="47" t="s">
        <v>114</v>
      </c>
      <c r="J1291" s="47" t="s">
        <v>29</v>
      </c>
      <c r="K1291" s="47" t="s">
        <v>34</v>
      </c>
    </row>
    <row r="1292" customFormat="false" ht="15" hidden="false" customHeight="false" outlineLevel="0" collapsed="false">
      <c r="A1292" s="0" t="s">
        <v>2183</v>
      </c>
      <c r="B1292" s="0" t="s">
        <v>1682</v>
      </c>
      <c r="D1292" s="46" t="n">
        <v>46247</v>
      </c>
      <c r="E1292" s="47" t="s">
        <v>62</v>
      </c>
      <c r="F1292" s="48" t="n">
        <v>102655.13</v>
      </c>
      <c r="G1292" s="47" t="s">
        <v>57</v>
      </c>
      <c r="H1292" s="47" t="s">
        <v>44</v>
      </c>
      <c r="I1292" s="47" t="s">
        <v>132</v>
      </c>
      <c r="J1292" s="47" t="s">
        <v>29</v>
      </c>
      <c r="K1292" s="47" t="s">
        <v>33</v>
      </c>
    </row>
    <row r="1293" customFormat="false" ht="15" hidden="false" customHeight="false" outlineLevel="0" collapsed="false">
      <c r="A1293" s="0" t="s">
        <v>2184</v>
      </c>
      <c r="B1293" s="0" t="s">
        <v>1050</v>
      </c>
      <c r="D1293" s="46" t="n">
        <v>46124</v>
      </c>
      <c r="E1293" s="47" t="s">
        <v>62</v>
      </c>
      <c r="F1293" s="48" t="n">
        <v>101145.13</v>
      </c>
      <c r="G1293" s="47" t="s">
        <v>53</v>
      </c>
      <c r="H1293" s="47" t="s">
        <v>42</v>
      </c>
      <c r="I1293" s="47" t="s">
        <v>137</v>
      </c>
      <c r="J1293" s="47" t="s">
        <v>28</v>
      </c>
      <c r="K1293" s="47" t="s">
        <v>33</v>
      </c>
    </row>
    <row r="1294" customFormat="false" ht="15" hidden="false" customHeight="false" outlineLevel="0" collapsed="false">
      <c r="A1294" s="0" t="s">
        <v>2185</v>
      </c>
      <c r="B1294" s="0" t="s">
        <v>2186</v>
      </c>
      <c r="D1294" s="46" t="n">
        <v>46039</v>
      </c>
      <c r="E1294" s="47" t="s">
        <v>59</v>
      </c>
      <c r="F1294" s="48" t="n">
        <v>167588.07</v>
      </c>
      <c r="G1294" s="47" t="s">
        <v>53</v>
      </c>
      <c r="H1294" s="47" t="s">
        <v>46</v>
      </c>
      <c r="I1294" s="47" t="s">
        <v>242</v>
      </c>
      <c r="J1294" s="47" t="s">
        <v>28</v>
      </c>
      <c r="K1294" s="47" t="s">
        <v>34</v>
      </c>
    </row>
    <row r="1295" customFormat="false" ht="15" hidden="false" customHeight="false" outlineLevel="0" collapsed="false">
      <c r="A1295" s="0" t="s">
        <v>2187</v>
      </c>
      <c r="B1295" s="0" t="s">
        <v>1335</v>
      </c>
      <c r="D1295" s="46" t="n">
        <v>45847</v>
      </c>
      <c r="E1295" s="47" t="s">
        <v>53</v>
      </c>
      <c r="F1295" s="48" t="n">
        <v>130637</v>
      </c>
      <c r="G1295" s="47" t="s">
        <v>66</v>
      </c>
      <c r="H1295" s="47" t="s">
        <v>42</v>
      </c>
      <c r="I1295" s="47" t="s">
        <v>137</v>
      </c>
      <c r="J1295" s="47" t="s">
        <v>28</v>
      </c>
      <c r="K1295" s="47" t="s">
        <v>33</v>
      </c>
    </row>
    <row r="1296" customFormat="false" ht="15" hidden="false" customHeight="false" outlineLevel="0" collapsed="false">
      <c r="A1296" s="0" t="s">
        <v>2188</v>
      </c>
      <c r="B1296" s="0" t="s">
        <v>1129</v>
      </c>
      <c r="C1296" s="0" t="s">
        <v>1130</v>
      </c>
      <c r="D1296" s="46" t="n">
        <v>45996</v>
      </c>
      <c r="E1296" s="47" t="s">
        <v>61</v>
      </c>
      <c r="F1296" s="48" t="n">
        <v>105759.32</v>
      </c>
      <c r="G1296" s="47" t="s">
        <v>68</v>
      </c>
      <c r="H1296" s="47" t="s">
        <v>45</v>
      </c>
      <c r="I1296" s="47" t="s">
        <v>217</v>
      </c>
      <c r="J1296" s="47" t="s">
        <v>28</v>
      </c>
      <c r="K1296" s="47" t="s">
        <v>34</v>
      </c>
    </row>
    <row r="1297" customFormat="false" ht="15" hidden="false" customHeight="false" outlineLevel="0" collapsed="false">
      <c r="A1297" s="0" t="s">
        <v>2189</v>
      </c>
      <c r="B1297" s="0" t="s">
        <v>432</v>
      </c>
      <c r="D1297" s="46" t="n">
        <v>45803</v>
      </c>
      <c r="E1297" s="47" t="s">
        <v>60</v>
      </c>
      <c r="F1297" s="48" t="n">
        <v>142075.24</v>
      </c>
      <c r="G1297" s="47" t="s">
        <v>57</v>
      </c>
      <c r="H1297" s="47" t="s">
        <v>46</v>
      </c>
      <c r="I1297" s="47" t="s">
        <v>121</v>
      </c>
      <c r="J1297" s="47" t="s">
        <v>28</v>
      </c>
      <c r="K1297" s="47" t="s">
        <v>34</v>
      </c>
    </row>
    <row r="1298" customFormat="false" ht="15" hidden="false" customHeight="false" outlineLevel="0" collapsed="false">
      <c r="A1298" s="0" t="s">
        <v>2190</v>
      </c>
      <c r="B1298" s="0" t="s">
        <v>2191</v>
      </c>
      <c r="D1298" s="46" t="n">
        <v>45667</v>
      </c>
      <c r="E1298" s="47" t="s">
        <v>62</v>
      </c>
      <c r="F1298" s="48" t="n">
        <v>185228.07</v>
      </c>
      <c r="G1298" s="47" t="s">
        <v>68</v>
      </c>
      <c r="H1298" s="47" t="s">
        <v>41</v>
      </c>
      <c r="I1298" s="47" t="s">
        <v>86</v>
      </c>
      <c r="J1298" s="47" t="s">
        <v>28</v>
      </c>
      <c r="K1298" s="47" t="s">
        <v>33</v>
      </c>
    </row>
    <row r="1299" customFormat="false" ht="15" hidden="false" customHeight="false" outlineLevel="0" collapsed="false">
      <c r="A1299" s="0" t="s">
        <v>2192</v>
      </c>
      <c r="B1299" s="0" t="s">
        <v>2073</v>
      </c>
      <c r="C1299" s="0" t="s">
        <v>2193</v>
      </c>
      <c r="D1299" s="46" t="n">
        <v>46111</v>
      </c>
      <c r="E1299" s="47" t="s">
        <v>62</v>
      </c>
      <c r="F1299" s="48" t="n">
        <v>49283.77</v>
      </c>
      <c r="G1299" s="47" t="s">
        <v>68</v>
      </c>
      <c r="H1299" s="47" t="s">
        <v>43</v>
      </c>
      <c r="I1299" s="47" t="s">
        <v>201</v>
      </c>
      <c r="J1299" s="47" t="s">
        <v>28</v>
      </c>
      <c r="K1299" s="47" t="s">
        <v>34</v>
      </c>
    </row>
    <row r="1300" customFormat="false" ht="15" hidden="false" customHeight="false" outlineLevel="0" collapsed="false">
      <c r="A1300" s="0" t="s">
        <v>2194</v>
      </c>
      <c r="B1300" s="0" t="s">
        <v>2195</v>
      </c>
      <c r="D1300" s="46" t="n">
        <v>45722</v>
      </c>
      <c r="E1300" s="47" t="s">
        <v>62</v>
      </c>
      <c r="F1300" s="48" t="n">
        <v>35016.01</v>
      </c>
      <c r="G1300" s="47" t="s">
        <v>57</v>
      </c>
      <c r="H1300" s="47" t="s">
        <v>40</v>
      </c>
      <c r="I1300" s="47" t="s">
        <v>83</v>
      </c>
      <c r="J1300" s="47" t="s">
        <v>28</v>
      </c>
      <c r="K1300" s="47" t="s">
        <v>34</v>
      </c>
    </row>
    <row r="1301" customFormat="false" ht="15" hidden="false" customHeight="false" outlineLevel="0" collapsed="false">
      <c r="A1301" s="0" t="s">
        <v>2196</v>
      </c>
      <c r="B1301" s="0" t="s">
        <v>1612</v>
      </c>
      <c r="D1301" s="46" t="n">
        <v>46180</v>
      </c>
      <c r="E1301" s="47" t="s">
        <v>53</v>
      </c>
      <c r="F1301" s="48" t="n">
        <v>61499.78</v>
      </c>
      <c r="G1301" s="47" t="s">
        <v>53</v>
      </c>
      <c r="H1301" s="47" t="s">
        <v>41</v>
      </c>
      <c r="I1301" s="47" t="s">
        <v>293</v>
      </c>
      <c r="J1301" s="47" t="s">
        <v>28</v>
      </c>
      <c r="K1301" s="47" t="s">
        <v>33</v>
      </c>
    </row>
    <row r="1302" customFormat="false" ht="15" hidden="false" customHeight="false" outlineLevel="0" collapsed="false">
      <c r="A1302" s="0" t="s">
        <v>2197</v>
      </c>
      <c r="B1302" s="0" t="s">
        <v>1846</v>
      </c>
      <c r="D1302" s="46" t="n">
        <v>45931</v>
      </c>
      <c r="E1302" s="47" t="s">
        <v>55</v>
      </c>
      <c r="F1302" s="48" t="n">
        <v>26873.48</v>
      </c>
      <c r="G1302" s="47" t="s">
        <v>65</v>
      </c>
      <c r="H1302" s="47" t="s">
        <v>43</v>
      </c>
      <c r="I1302" s="47" t="s">
        <v>102</v>
      </c>
      <c r="J1302" s="47" t="s">
        <v>30</v>
      </c>
      <c r="K1302" s="47" t="s">
        <v>34</v>
      </c>
    </row>
    <row r="1303" customFormat="false" ht="15" hidden="false" customHeight="false" outlineLevel="0" collapsed="false">
      <c r="A1303" s="0" t="s">
        <v>2198</v>
      </c>
      <c r="B1303" s="0" t="s">
        <v>2199</v>
      </c>
      <c r="D1303" s="46" t="n">
        <v>45838</v>
      </c>
      <c r="E1303" s="47" t="s">
        <v>59</v>
      </c>
      <c r="F1303" s="48" t="n">
        <v>33039.53</v>
      </c>
      <c r="G1303" s="47" t="s">
        <v>68</v>
      </c>
      <c r="H1303" s="47" t="s">
        <v>43</v>
      </c>
      <c r="I1303" s="47" t="s">
        <v>102</v>
      </c>
      <c r="J1303" s="47" t="s">
        <v>28</v>
      </c>
      <c r="K1303" s="47" t="s">
        <v>34</v>
      </c>
    </row>
    <row r="1304" customFormat="false" ht="15" hidden="false" customHeight="false" outlineLevel="0" collapsed="false">
      <c r="A1304" s="0" t="s">
        <v>2200</v>
      </c>
      <c r="B1304" s="0" t="s">
        <v>2201</v>
      </c>
      <c r="D1304" s="46" t="n">
        <v>45660</v>
      </c>
      <c r="E1304" s="47" t="s">
        <v>60</v>
      </c>
      <c r="F1304" s="48" t="n">
        <v>182428.97</v>
      </c>
      <c r="G1304" s="47" t="s">
        <v>65</v>
      </c>
      <c r="H1304" s="47" t="s">
        <v>46</v>
      </c>
      <c r="I1304" s="47" t="s">
        <v>121</v>
      </c>
      <c r="J1304" s="47" t="s">
        <v>28</v>
      </c>
      <c r="K1304" s="47" t="s">
        <v>33</v>
      </c>
    </row>
    <row r="1305" customFormat="false" ht="15" hidden="false" customHeight="false" outlineLevel="0" collapsed="false">
      <c r="A1305" s="0" t="s">
        <v>2202</v>
      </c>
      <c r="B1305" s="0" t="s">
        <v>2199</v>
      </c>
      <c r="D1305" s="46" t="n">
        <v>46272</v>
      </c>
      <c r="E1305" s="47" t="s">
        <v>60</v>
      </c>
      <c r="F1305" s="48" t="n">
        <v>114642.74</v>
      </c>
      <c r="G1305" s="47" t="s">
        <v>66</v>
      </c>
      <c r="H1305" s="47" t="s">
        <v>43</v>
      </c>
      <c r="I1305" s="47" t="s">
        <v>102</v>
      </c>
      <c r="J1305" s="47" t="s">
        <v>28</v>
      </c>
      <c r="K1305" s="47" t="s">
        <v>34</v>
      </c>
    </row>
    <row r="1306" customFormat="false" ht="15" hidden="false" customHeight="false" outlineLevel="0" collapsed="false">
      <c r="A1306" s="0" t="s">
        <v>2203</v>
      </c>
      <c r="B1306" s="0" t="s">
        <v>392</v>
      </c>
      <c r="D1306" s="46" t="n">
        <v>45930</v>
      </c>
      <c r="E1306" s="47" t="s">
        <v>55</v>
      </c>
      <c r="F1306" s="48" t="n">
        <v>128792.33</v>
      </c>
      <c r="G1306" s="47" t="s">
        <v>57</v>
      </c>
      <c r="H1306" s="47" t="s">
        <v>41</v>
      </c>
      <c r="I1306" s="47" t="s">
        <v>86</v>
      </c>
      <c r="J1306" s="47" t="s">
        <v>28</v>
      </c>
      <c r="K1306" s="47" t="s">
        <v>34</v>
      </c>
    </row>
    <row r="1307" customFormat="false" ht="15" hidden="false" customHeight="false" outlineLevel="0" collapsed="false">
      <c r="A1307" s="0" t="s">
        <v>2204</v>
      </c>
      <c r="B1307" s="0" t="s">
        <v>1387</v>
      </c>
      <c r="C1307" s="0" t="s">
        <v>2205</v>
      </c>
      <c r="D1307" s="46" t="n">
        <v>45864</v>
      </c>
      <c r="E1307" s="47" t="s">
        <v>53</v>
      </c>
      <c r="F1307" s="48" t="n">
        <v>2871.97</v>
      </c>
      <c r="G1307" s="47" t="s">
        <v>66</v>
      </c>
      <c r="H1307" s="47" t="s">
        <v>45</v>
      </c>
      <c r="I1307" s="47" t="s">
        <v>217</v>
      </c>
      <c r="J1307" s="47" t="s">
        <v>28</v>
      </c>
      <c r="K1307" s="47" t="s">
        <v>34</v>
      </c>
    </row>
    <row r="1308" customFormat="false" ht="15" hidden="false" customHeight="false" outlineLevel="0" collapsed="false">
      <c r="A1308" s="0" t="s">
        <v>2206</v>
      </c>
      <c r="B1308" s="0" t="s">
        <v>2207</v>
      </c>
      <c r="D1308" s="46" t="n">
        <v>45886</v>
      </c>
      <c r="E1308" s="47" t="s">
        <v>62</v>
      </c>
      <c r="F1308" s="48" t="n">
        <v>195238.59</v>
      </c>
      <c r="G1308" s="47" t="s">
        <v>65</v>
      </c>
      <c r="H1308" s="47" t="s">
        <v>43</v>
      </c>
      <c r="I1308" s="47" t="s">
        <v>102</v>
      </c>
      <c r="J1308" s="47" t="s">
        <v>29</v>
      </c>
      <c r="K1308" s="47" t="s">
        <v>33</v>
      </c>
    </row>
    <row r="1309" customFormat="false" ht="15" hidden="false" customHeight="false" outlineLevel="0" collapsed="false">
      <c r="A1309" s="0" t="s">
        <v>2208</v>
      </c>
      <c r="B1309" s="0" t="s">
        <v>1967</v>
      </c>
      <c r="D1309" s="46" t="n">
        <v>45825</v>
      </c>
      <c r="E1309" s="47" t="s">
        <v>58</v>
      </c>
      <c r="F1309" s="48" t="n">
        <v>43065.81</v>
      </c>
      <c r="G1309" s="47" t="s">
        <v>65</v>
      </c>
      <c r="H1309" s="47" t="s">
        <v>47</v>
      </c>
      <c r="I1309" s="47" t="s">
        <v>245</v>
      </c>
      <c r="J1309" s="47" t="s">
        <v>28</v>
      </c>
      <c r="K1309" s="47" t="s">
        <v>34</v>
      </c>
    </row>
    <row r="1310" customFormat="false" ht="15" hidden="false" customHeight="false" outlineLevel="0" collapsed="false">
      <c r="A1310" s="0" t="s">
        <v>2209</v>
      </c>
      <c r="B1310" s="0" t="s">
        <v>2039</v>
      </c>
      <c r="D1310" s="46" t="n">
        <v>45831</v>
      </c>
      <c r="E1310" s="47" t="s">
        <v>61</v>
      </c>
      <c r="F1310" s="48" t="n">
        <v>156542.31</v>
      </c>
      <c r="G1310" s="47" t="s">
        <v>57</v>
      </c>
      <c r="H1310" s="47" t="s">
        <v>44</v>
      </c>
      <c r="I1310" s="47" t="s">
        <v>226</v>
      </c>
      <c r="J1310" s="47" t="s">
        <v>28</v>
      </c>
      <c r="K1310" s="47" t="s">
        <v>34</v>
      </c>
    </row>
    <row r="1311" customFormat="false" ht="15" hidden="false" customHeight="false" outlineLevel="0" collapsed="false">
      <c r="A1311" s="0" t="s">
        <v>2210</v>
      </c>
      <c r="B1311" s="0" t="s">
        <v>498</v>
      </c>
      <c r="D1311" s="46" t="n">
        <v>46042</v>
      </c>
      <c r="E1311" s="47" t="s">
        <v>55</v>
      </c>
      <c r="F1311" s="48" t="n">
        <v>140183.5</v>
      </c>
      <c r="G1311" s="47" t="s">
        <v>68</v>
      </c>
      <c r="H1311" s="47" t="s">
        <v>46</v>
      </c>
      <c r="I1311" s="47" t="s">
        <v>121</v>
      </c>
      <c r="J1311" s="47" t="s">
        <v>28</v>
      </c>
      <c r="K1311" s="47" t="s">
        <v>33</v>
      </c>
    </row>
    <row r="1312" customFormat="false" ht="15" hidden="false" customHeight="false" outlineLevel="0" collapsed="false">
      <c r="A1312" s="0" t="s">
        <v>2211</v>
      </c>
      <c r="B1312" s="0" t="s">
        <v>2003</v>
      </c>
      <c r="D1312" s="46" t="n">
        <v>45672</v>
      </c>
      <c r="E1312" s="47" t="s">
        <v>60</v>
      </c>
      <c r="F1312" s="48" t="n">
        <v>152515.38</v>
      </c>
      <c r="G1312" s="47" t="s">
        <v>65</v>
      </c>
      <c r="H1312" s="47" t="s">
        <v>40</v>
      </c>
      <c r="I1312" s="47" t="s">
        <v>83</v>
      </c>
      <c r="J1312" s="47" t="s">
        <v>28</v>
      </c>
      <c r="K1312" s="47" t="s">
        <v>34</v>
      </c>
    </row>
    <row r="1313" customFormat="false" ht="15" hidden="false" customHeight="false" outlineLevel="0" collapsed="false">
      <c r="A1313" s="0" t="s">
        <v>2212</v>
      </c>
      <c r="B1313" s="0" t="s">
        <v>1541</v>
      </c>
      <c r="D1313" s="46" t="n">
        <v>45684</v>
      </c>
      <c r="E1313" s="47" t="s">
        <v>58</v>
      </c>
      <c r="F1313" s="48" t="n">
        <v>1879.11</v>
      </c>
      <c r="G1313" s="47" t="s">
        <v>65</v>
      </c>
      <c r="H1313" s="47" t="s">
        <v>48</v>
      </c>
      <c r="I1313" s="47" t="s">
        <v>212</v>
      </c>
      <c r="J1313" s="47" t="s">
        <v>28</v>
      </c>
      <c r="K1313" s="47" t="s">
        <v>33</v>
      </c>
    </row>
    <row r="1314" customFormat="false" ht="15" hidden="false" customHeight="false" outlineLevel="0" collapsed="false">
      <c r="A1314" s="0" t="s">
        <v>2213</v>
      </c>
      <c r="B1314" s="0" t="s">
        <v>2214</v>
      </c>
      <c r="D1314" s="46" t="n">
        <v>45896</v>
      </c>
      <c r="E1314" s="47" t="s">
        <v>55</v>
      </c>
      <c r="F1314" s="48" t="n">
        <v>65653.73</v>
      </c>
      <c r="G1314" s="47" t="s">
        <v>66</v>
      </c>
      <c r="H1314" s="47" t="s">
        <v>44</v>
      </c>
      <c r="I1314" s="47" t="s">
        <v>226</v>
      </c>
      <c r="J1314" s="47" t="s">
        <v>28</v>
      </c>
      <c r="K1314" s="47" t="s">
        <v>34</v>
      </c>
    </row>
    <row r="1315" customFormat="false" ht="15" hidden="false" customHeight="false" outlineLevel="0" collapsed="false">
      <c r="A1315" s="0" t="s">
        <v>2215</v>
      </c>
      <c r="B1315" s="0" t="s">
        <v>1673</v>
      </c>
      <c r="D1315" s="46" t="n">
        <v>46022</v>
      </c>
      <c r="E1315" s="47" t="s">
        <v>60</v>
      </c>
      <c r="F1315" s="48" t="n">
        <v>114276.94</v>
      </c>
      <c r="G1315" s="47" t="s">
        <v>66</v>
      </c>
      <c r="H1315" s="47" t="s">
        <v>44</v>
      </c>
      <c r="I1315" s="47" t="s">
        <v>80</v>
      </c>
      <c r="J1315" s="47" t="s">
        <v>29</v>
      </c>
      <c r="K1315" s="47" t="s">
        <v>34</v>
      </c>
    </row>
    <row r="1316" customFormat="false" ht="15" hidden="false" customHeight="false" outlineLevel="0" collapsed="false">
      <c r="A1316" s="0" t="s">
        <v>2216</v>
      </c>
      <c r="B1316" s="0" t="s">
        <v>1155</v>
      </c>
      <c r="D1316" s="46" t="n">
        <v>46109</v>
      </c>
      <c r="E1316" s="47" t="s">
        <v>59</v>
      </c>
      <c r="F1316" s="48" t="n">
        <v>194910.81</v>
      </c>
      <c r="G1316" s="47" t="s">
        <v>57</v>
      </c>
      <c r="H1316" s="47" t="s">
        <v>44</v>
      </c>
      <c r="I1316" s="47" t="s">
        <v>132</v>
      </c>
      <c r="J1316" s="47" t="s">
        <v>28</v>
      </c>
      <c r="K1316" s="47" t="s">
        <v>33</v>
      </c>
    </row>
    <row r="1317" customFormat="false" ht="15" hidden="false" customHeight="false" outlineLevel="0" collapsed="false">
      <c r="A1317" s="0" t="s">
        <v>2217</v>
      </c>
      <c r="B1317" s="0" t="s">
        <v>451</v>
      </c>
      <c r="D1317" s="46" t="n">
        <v>46036</v>
      </c>
      <c r="E1317" s="47" t="s">
        <v>53</v>
      </c>
      <c r="F1317" s="48" t="n">
        <v>133403.19</v>
      </c>
      <c r="G1317" s="47" t="s">
        <v>57</v>
      </c>
      <c r="H1317" s="47" t="s">
        <v>41</v>
      </c>
      <c r="I1317" s="47" t="s">
        <v>293</v>
      </c>
      <c r="J1317" s="47" t="s">
        <v>28</v>
      </c>
      <c r="K1317" s="47" t="s">
        <v>33</v>
      </c>
    </row>
    <row r="1318" customFormat="false" ht="15" hidden="false" customHeight="false" outlineLevel="0" collapsed="false">
      <c r="A1318" s="0" t="s">
        <v>2218</v>
      </c>
      <c r="B1318" s="0" t="s">
        <v>1074</v>
      </c>
      <c r="D1318" s="46" t="n">
        <v>45722</v>
      </c>
      <c r="E1318" s="47" t="s">
        <v>58</v>
      </c>
      <c r="F1318" s="48" t="n">
        <v>197346.3</v>
      </c>
      <c r="G1318" s="47" t="s">
        <v>66</v>
      </c>
      <c r="H1318" s="47" t="s">
        <v>41</v>
      </c>
      <c r="I1318" s="47" t="s">
        <v>272</v>
      </c>
      <c r="J1318" s="47" t="s">
        <v>28</v>
      </c>
      <c r="K1318" s="47" t="s">
        <v>33</v>
      </c>
    </row>
    <row r="1319" customFormat="false" ht="15" hidden="false" customHeight="false" outlineLevel="0" collapsed="false">
      <c r="A1319" s="0" t="s">
        <v>2219</v>
      </c>
      <c r="B1319" s="0" t="s">
        <v>833</v>
      </c>
      <c r="D1319" s="46" t="n">
        <v>45747</v>
      </c>
      <c r="E1319" s="47" t="s">
        <v>60</v>
      </c>
      <c r="F1319" s="48" t="n">
        <v>52331.16</v>
      </c>
      <c r="G1319" s="47" t="s">
        <v>57</v>
      </c>
      <c r="H1319" s="47" t="s">
        <v>39</v>
      </c>
      <c r="I1319" s="47" t="s">
        <v>177</v>
      </c>
      <c r="J1319" s="47" t="s">
        <v>28</v>
      </c>
      <c r="K1319" s="47" t="s">
        <v>33</v>
      </c>
    </row>
    <row r="1320" customFormat="false" ht="15" hidden="false" customHeight="false" outlineLevel="0" collapsed="false">
      <c r="A1320" s="0" t="s">
        <v>2220</v>
      </c>
      <c r="B1320" s="0" t="s">
        <v>2221</v>
      </c>
      <c r="C1320" s="0" t="s">
        <v>2222</v>
      </c>
      <c r="D1320" s="46" t="n">
        <v>45826</v>
      </c>
      <c r="E1320" s="47" t="s">
        <v>53</v>
      </c>
      <c r="F1320" s="48" t="n">
        <v>158470.99</v>
      </c>
      <c r="G1320" s="47" t="s">
        <v>66</v>
      </c>
      <c r="H1320" s="47" t="s">
        <v>39</v>
      </c>
      <c r="I1320" s="47" t="s">
        <v>177</v>
      </c>
      <c r="J1320" s="47" t="s">
        <v>28</v>
      </c>
      <c r="K1320" s="47" t="s">
        <v>33</v>
      </c>
    </row>
    <row r="1321" customFormat="false" ht="15" hidden="false" customHeight="false" outlineLevel="0" collapsed="false">
      <c r="A1321" s="0" t="s">
        <v>2223</v>
      </c>
      <c r="B1321" s="0" t="s">
        <v>2224</v>
      </c>
      <c r="D1321" s="46" t="n">
        <v>46071</v>
      </c>
      <c r="E1321" s="47" t="s">
        <v>62</v>
      </c>
      <c r="F1321" s="48" t="n">
        <v>73914.9</v>
      </c>
      <c r="G1321" s="47" t="s">
        <v>66</v>
      </c>
      <c r="H1321" s="47" t="s">
        <v>44</v>
      </c>
      <c r="I1321" s="47" t="s">
        <v>132</v>
      </c>
      <c r="J1321" s="47" t="s">
        <v>28</v>
      </c>
      <c r="K1321" s="47" t="s">
        <v>33</v>
      </c>
    </row>
    <row r="1322" customFormat="false" ht="15" hidden="false" customHeight="false" outlineLevel="0" collapsed="false">
      <c r="A1322" s="0" t="s">
        <v>2225</v>
      </c>
      <c r="B1322" s="0" t="s">
        <v>1788</v>
      </c>
      <c r="D1322" s="46" t="n">
        <v>46029</v>
      </c>
      <c r="E1322" s="47" t="s">
        <v>58</v>
      </c>
      <c r="F1322" s="48" t="n">
        <v>13952.57</v>
      </c>
      <c r="G1322" s="47" t="s">
        <v>57</v>
      </c>
      <c r="H1322" s="47" t="s">
        <v>47</v>
      </c>
      <c r="I1322" s="47" t="s">
        <v>108</v>
      </c>
      <c r="J1322" s="47" t="s">
        <v>29</v>
      </c>
      <c r="K1322" s="47" t="s">
        <v>34</v>
      </c>
    </row>
    <row r="1323" customFormat="false" ht="15" hidden="false" customHeight="false" outlineLevel="0" collapsed="false">
      <c r="A1323" s="0" t="s">
        <v>2226</v>
      </c>
      <c r="B1323" s="0" t="s">
        <v>2227</v>
      </c>
      <c r="D1323" s="46" t="n">
        <v>45740</v>
      </c>
      <c r="E1323" s="47" t="s">
        <v>62</v>
      </c>
      <c r="F1323" s="48" t="n">
        <v>191833.51</v>
      </c>
      <c r="G1323" s="47" t="s">
        <v>66</v>
      </c>
      <c r="H1323" s="47" t="s">
        <v>47</v>
      </c>
      <c r="I1323" s="47" t="s">
        <v>108</v>
      </c>
      <c r="J1323" s="47" t="s">
        <v>28</v>
      </c>
      <c r="K1323" s="47" t="s">
        <v>33</v>
      </c>
    </row>
    <row r="1324" customFormat="false" ht="15" hidden="false" customHeight="false" outlineLevel="0" collapsed="false">
      <c r="A1324" s="0" t="s">
        <v>2228</v>
      </c>
      <c r="B1324" s="0" t="s">
        <v>697</v>
      </c>
      <c r="D1324" s="46" t="n">
        <v>46108</v>
      </c>
      <c r="E1324" s="47" t="s">
        <v>58</v>
      </c>
      <c r="F1324" s="48" t="n">
        <v>25698.21</v>
      </c>
      <c r="G1324" s="47" t="s">
        <v>66</v>
      </c>
      <c r="H1324" s="47" t="s">
        <v>48</v>
      </c>
      <c r="I1324" s="47" t="s">
        <v>212</v>
      </c>
      <c r="J1324" s="47" t="s">
        <v>28</v>
      </c>
      <c r="K1324" s="47" t="s">
        <v>33</v>
      </c>
    </row>
    <row r="1325" customFormat="false" ht="15" hidden="false" customHeight="false" outlineLevel="0" collapsed="false">
      <c r="A1325" s="0" t="s">
        <v>2229</v>
      </c>
      <c r="B1325" s="0" t="s">
        <v>2230</v>
      </c>
      <c r="D1325" s="46" t="n">
        <v>46286</v>
      </c>
      <c r="E1325" s="47" t="s">
        <v>53</v>
      </c>
      <c r="F1325" s="48" t="n">
        <v>172937.88</v>
      </c>
      <c r="G1325" s="47" t="s">
        <v>66</v>
      </c>
      <c r="H1325" s="47" t="s">
        <v>45</v>
      </c>
      <c r="I1325" s="47" t="s">
        <v>95</v>
      </c>
      <c r="J1325" s="47" t="s">
        <v>28</v>
      </c>
      <c r="K1325" s="47" t="s">
        <v>33</v>
      </c>
    </row>
    <row r="1326" customFormat="false" ht="15" hidden="false" customHeight="false" outlineLevel="0" collapsed="false">
      <c r="A1326" s="0" t="s">
        <v>2231</v>
      </c>
      <c r="B1326" s="0" t="s">
        <v>280</v>
      </c>
      <c r="D1326" s="46" t="n">
        <v>46141</v>
      </c>
      <c r="E1326" s="47" t="s">
        <v>61</v>
      </c>
      <c r="F1326" s="48" t="n">
        <v>187469.45</v>
      </c>
      <c r="G1326" s="47" t="s">
        <v>57</v>
      </c>
      <c r="H1326" s="47" t="s">
        <v>48</v>
      </c>
      <c r="I1326" s="47" t="s">
        <v>212</v>
      </c>
      <c r="J1326" s="47" t="s">
        <v>28</v>
      </c>
      <c r="K1326" s="47" t="s">
        <v>34</v>
      </c>
    </row>
    <row r="1327" customFormat="false" ht="15" hidden="false" customHeight="false" outlineLevel="0" collapsed="false">
      <c r="A1327" s="0" t="s">
        <v>2232</v>
      </c>
      <c r="B1327" s="0" t="s">
        <v>1599</v>
      </c>
      <c r="D1327" s="46" t="n">
        <v>45720</v>
      </c>
      <c r="E1327" s="47" t="s">
        <v>58</v>
      </c>
      <c r="F1327" s="48" t="n">
        <v>91064.75</v>
      </c>
      <c r="G1327" s="47" t="s">
        <v>53</v>
      </c>
      <c r="H1327" s="47" t="s">
        <v>44</v>
      </c>
      <c r="I1327" s="47" t="s">
        <v>80</v>
      </c>
      <c r="J1327" s="47" t="s">
        <v>30</v>
      </c>
      <c r="K1327" s="47" t="s">
        <v>34</v>
      </c>
    </row>
    <row r="1328" customFormat="false" ht="15" hidden="false" customHeight="false" outlineLevel="0" collapsed="false">
      <c r="A1328" s="0" t="s">
        <v>2233</v>
      </c>
      <c r="B1328" s="0" t="s">
        <v>631</v>
      </c>
      <c r="D1328" s="46" t="n">
        <v>45855</v>
      </c>
      <c r="E1328" s="47" t="s">
        <v>61</v>
      </c>
      <c r="F1328" s="48" t="n">
        <v>92826.3</v>
      </c>
      <c r="G1328" s="47" t="s">
        <v>66</v>
      </c>
      <c r="H1328" s="47" t="s">
        <v>43</v>
      </c>
      <c r="I1328" s="47" t="s">
        <v>201</v>
      </c>
      <c r="J1328" s="47" t="s">
        <v>28</v>
      </c>
      <c r="K1328" s="47" t="s">
        <v>34</v>
      </c>
    </row>
    <row r="1329" customFormat="false" ht="15" hidden="false" customHeight="false" outlineLevel="0" collapsed="false">
      <c r="A1329" s="0" t="s">
        <v>2234</v>
      </c>
      <c r="B1329" s="0" t="s">
        <v>94</v>
      </c>
      <c r="D1329" s="46" t="n">
        <v>45786</v>
      </c>
      <c r="E1329" s="47" t="s">
        <v>61</v>
      </c>
      <c r="F1329" s="48" t="n">
        <v>127340.14</v>
      </c>
      <c r="G1329" s="47" t="s">
        <v>68</v>
      </c>
      <c r="H1329" s="47" t="s">
        <v>45</v>
      </c>
      <c r="I1329" s="47" t="s">
        <v>95</v>
      </c>
      <c r="J1329" s="47" t="s">
        <v>28</v>
      </c>
      <c r="K1329" s="47" t="s">
        <v>34</v>
      </c>
    </row>
    <row r="1330" customFormat="false" ht="15" hidden="false" customHeight="false" outlineLevel="0" collapsed="false">
      <c r="A1330" s="0" t="s">
        <v>2235</v>
      </c>
      <c r="B1330" s="0" t="s">
        <v>2191</v>
      </c>
      <c r="D1330" s="46" t="n">
        <v>45920</v>
      </c>
      <c r="E1330" s="47" t="s">
        <v>59</v>
      </c>
      <c r="F1330" s="48" t="n">
        <v>132849.18</v>
      </c>
      <c r="G1330" s="47" t="s">
        <v>68</v>
      </c>
      <c r="H1330" s="47" t="s">
        <v>41</v>
      </c>
      <c r="I1330" s="47" t="s">
        <v>86</v>
      </c>
      <c r="J1330" s="47" t="s">
        <v>29</v>
      </c>
      <c r="K1330" s="47" t="s">
        <v>33</v>
      </c>
    </row>
    <row r="1331" customFormat="false" ht="15" hidden="false" customHeight="false" outlineLevel="0" collapsed="false">
      <c r="A1331" s="0" t="s">
        <v>2236</v>
      </c>
      <c r="B1331" s="0" t="s">
        <v>2237</v>
      </c>
      <c r="C1331" s="0" t="s">
        <v>2238</v>
      </c>
      <c r="D1331" s="46" t="n">
        <v>45750</v>
      </c>
      <c r="E1331" s="47" t="s">
        <v>62</v>
      </c>
      <c r="F1331" s="48" t="n">
        <v>84258.64</v>
      </c>
      <c r="G1331" s="47" t="s">
        <v>65</v>
      </c>
      <c r="H1331" s="47" t="s">
        <v>39</v>
      </c>
      <c r="I1331" s="47" t="s">
        <v>98</v>
      </c>
      <c r="J1331" s="47" t="s">
        <v>28</v>
      </c>
      <c r="K1331" s="47" t="s">
        <v>33</v>
      </c>
    </row>
    <row r="1332" customFormat="false" ht="15" hidden="false" customHeight="false" outlineLevel="0" collapsed="false">
      <c r="A1332" s="0" t="s">
        <v>2239</v>
      </c>
      <c r="B1332" s="0" t="s">
        <v>1028</v>
      </c>
      <c r="D1332" s="46" t="n">
        <v>45885</v>
      </c>
      <c r="E1332" s="47" t="s">
        <v>55</v>
      </c>
      <c r="F1332" s="48" t="n">
        <v>44829.29</v>
      </c>
      <c r="G1332" s="47" t="s">
        <v>68</v>
      </c>
      <c r="H1332" s="47" t="s">
        <v>39</v>
      </c>
      <c r="I1332" s="47" t="s">
        <v>177</v>
      </c>
      <c r="J1332" s="47" t="s">
        <v>28</v>
      </c>
      <c r="K1332" s="47" t="s">
        <v>34</v>
      </c>
    </row>
    <row r="1333" customFormat="false" ht="15" hidden="false" customHeight="false" outlineLevel="0" collapsed="false">
      <c r="A1333" s="0" t="s">
        <v>2240</v>
      </c>
      <c r="B1333" s="0" t="s">
        <v>749</v>
      </c>
      <c r="D1333" s="46" t="n">
        <v>45897</v>
      </c>
      <c r="E1333" s="47" t="s">
        <v>53</v>
      </c>
      <c r="F1333" s="48" t="n">
        <v>155352.67</v>
      </c>
      <c r="G1333" s="47" t="s">
        <v>57</v>
      </c>
      <c r="H1333" s="47" t="s">
        <v>47</v>
      </c>
      <c r="I1333" s="47" t="s">
        <v>166</v>
      </c>
      <c r="J1333" s="47" t="s">
        <v>28</v>
      </c>
      <c r="K1333" s="47" t="s">
        <v>33</v>
      </c>
    </row>
    <row r="1334" customFormat="false" ht="15" hidden="false" customHeight="false" outlineLevel="0" collapsed="false">
      <c r="A1334" s="0" t="s">
        <v>2241</v>
      </c>
      <c r="B1334" s="0" t="s">
        <v>674</v>
      </c>
      <c r="D1334" s="46" t="n">
        <v>45983</v>
      </c>
      <c r="E1334" s="47" t="s">
        <v>55</v>
      </c>
      <c r="F1334" s="48" t="n">
        <v>30005.32</v>
      </c>
      <c r="G1334" s="47" t="s">
        <v>57</v>
      </c>
      <c r="H1334" s="47" t="s">
        <v>42</v>
      </c>
      <c r="I1334" s="47" t="s">
        <v>105</v>
      </c>
      <c r="J1334" s="47" t="s">
        <v>28</v>
      </c>
      <c r="K1334" s="47" t="s">
        <v>33</v>
      </c>
    </row>
    <row r="1335" customFormat="false" ht="15" hidden="false" customHeight="false" outlineLevel="0" collapsed="false">
      <c r="A1335" s="0" t="s">
        <v>2242</v>
      </c>
      <c r="B1335" s="0" t="s">
        <v>489</v>
      </c>
      <c r="D1335" s="46" t="n">
        <v>46107</v>
      </c>
      <c r="E1335" s="47" t="s">
        <v>58</v>
      </c>
      <c r="F1335" s="48" t="n">
        <v>133807.8</v>
      </c>
      <c r="G1335" s="47" t="s">
        <v>57</v>
      </c>
      <c r="H1335" s="47" t="s">
        <v>41</v>
      </c>
      <c r="I1335" s="47" t="s">
        <v>272</v>
      </c>
      <c r="J1335" s="47" t="s">
        <v>28</v>
      </c>
      <c r="K1335" s="47" t="s">
        <v>34</v>
      </c>
    </row>
    <row r="1336" customFormat="false" ht="15" hidden="false" customHeight="false" outlineLevel="0" collapsed="false">
      <c r="A1336" s="0" t="s">
        <v>2243</v>
      </c>
      <c r="B1336" s="0" t="s">
        <v>2244</v>
      </c>
      <c r="D1336" s="46" t="n">
        <v>45891</v>
      </c>
      <c r="E1336" s="47" t="s">
        <v>53</v>
      </c>
      <c r="F1336" s="48" t="n">
        <v>193161.62</v>
      </c>
      <c r="G1336" s="47" t="s">
        <v>66</v>
      </c>
      <c r="H1336" s="47" t="s">
        <v>44</v>
      </c>
      <c r="I1336" s="47" t="s">
        <v>226</v>
      </c>
      <c r="J1336" s="47" t="s">
        <v>28</v>
      </c>
      <c r="K1336" s="47" t="s">
        <v>33</v>
      </c>
    </row>
    <row r="1337" customFormat="false" ht="15" hidden="false" customHeight="false" outlineLevel="0" collapsed="false">
      <c r="A1337" s="0" t="s">
        <v>2245</v>
      </c>
      <c r="B1337" s="0" t="s">
        <v>1093</v>
      </c>
      <c r="D1337" s="46" t="n">
        <v>45876</v>
      </c>
      <c r="E1337" s="47" t="s">
        <v>60</v>
      </c>
      <c r="F1337" s="48" t="n">
        <v>30923.58</v>
      </c>
      <c r="G1337" s="47" t="s">
        <v>65</v>
      </c>
      <c r="H1337" s="47" t="s">
        <v>39</v>
      </c>
      <c r="I1337" s="47" t="s">
        <v>177</v>
      </c>
      <c r="J1337" s="47" t="s">
        <v>28</v>
      </c>
      <c r="K1337" s="47" t="s">
        <v>34</v>
      </c>
    </row>
    <row r="1338" customFormat="false" ht="15" hidden="false" customHeight="false" outlineLevel="0" collapsed="false">
      <c r="A1338" s="0" t="s">
        <v>2246</v>
      </c>
      <c r="B1338" s="0" t="s">
        <v>662</v>
      </c>
      <c r="D1338" s="46" t="n">
        <v>46017</v>
      </c>
      <c r="E1338" s="47" t="s">
        <v>58</v>
      </c>
      <c r="F1338" s="48" t="n">
        <v>4944.82</v>
      </c>
      <c r="G1338" s="47" t="s">
        <v>65</v>
      </c>
      <c r="H1338" s="47" t="s">
        <v>45</v>
      </c>
      <c r="I1338" s="47" t="s">
        <v>151</v>
      </c>
      <c r="J1338" s="47" t="s">
        <v>30</v>
      </c>
      <c r="K1338" s="47" t="s">
        <v>33</v>
      </c>
    </row>
    <row r="1339" customFormat="false" ht="15" hidden="false" customHeight="false" outlineLevel="0" collapsed="false">
      <c r="A1339" s="0" t="s">
        <v>2247</v>
      </c>
      <c r="B1339" s="0" t="s">
        <v>2248</v>
      </c>
      <c r="C1339" s="0" t="s">
        <v>2249</v>
      </c>
      <c r="D1339" s="46" t="n">
        <v>45700</v>
      </c>
      <c r="E1339" s="47" t="s">
        <v>53</v>
      </c>
      <c r="F1339" s="48" t="n">
        <v>115175.83</v>
      </c>
      <c r="G1339" s="47" t="s">
        <v>57</v>
      </c>
      <c r="H1339" s="47" t="s">
        <v>40</v>
      </c>
      <c r="I1339" s="47" t="s">
        <v>83</v>
      </c>
      <c r="J1339" s="47" t="s">
        <v>28</v>
      </c>
      <c r="K1339" s="47" t="s">
        <v>33</v>
      </c>
    </row>
    <row r="1340" customFormat="false" ht="15" hidden="false" customHeight="false" outlineLevel="0" collapsed="false">
      <c r="A1340" s="0" t="s">
        <v>2250</v>
      </c>
      <c r="B1340" s="0" t="s">
        <v>923</v>
      </c>
      <c r="D1340" s="46" t="n">
        <v>45899</v>
      </c>
      <c r="E1340" s="47" t="s">
        <v>62</v>
      </c>
      <c r="F1340" s="48" t="n">
        <v>84337.42</v>
      </c>
      <c r="G1340" s="47" t="s">
        <v>57</v>
      </c>
      <c r="H1340" s="47" t="s">
        <v>42</v>
      </c>
      <c r="I1340" s="47" t="s">
        <v>105</v>
      </c>
      <c r="J1340" s="47" t="s">
        <v>28</v>
      </c>
      <c r="K1340" s="47" t="s">
        <v>33</v>
      </c>
    </row>
    <row r="1341" customFormat="false" ht="15" hidden="false" customHeight="false" outlineLevel="0" collapsed="false">
      <c r="A1341" s="0" t="s">
        <v>2251</v>
      </c>
      <c r="B1341" s="0" t="s">
        <v>2252</v>
      </c>
      <c r="D1341" s="46" t="n">
        <v>45764</v>
      </c>
      <c r="E1341" s="47" t="s">
        <v>61</v>
      </c>
      <c r="F1341" s="48" t="n">
        <v>44443.83</v>
      </c>
      <c r="G1341" s="47" t="s">
        <v>66</v>
      </c>
      <c r="H1341" s="47" t="s">
        <v>43</v>
      </c>
      <c r="I1341" s="47" t="s">
        <v>117</v>
      </c>
      <c r="J1341" s="47" t="s">
        <v>28</v>
      </c>
      <c r="K1341" s="47" t="s">
        <v>34</v>
      </c>
    </row>
    <row r="1342" customFormat="false" ht="15" hidden="false" customHeight="false" outlineLevel="0" collapsed="false">
      <c r="A1342" s="0" t="s">
        <v>2253</v>
      </c>
      <c r="B1342" s="0" t="s">
        <v>1014</v>
      </c>
      <c r="D1342" s="46" t="n">
        <v>45781</v>
      </c>
      <c r="E1342" s="47" t="s">
        <v>58</v>
      </c>
      <c r="F1342" s="48" t="n">
        <v>21444.59</v>
      </c>
      <c r="G1342" s="47" t="s">
        <v>65</v>
      </c>
      <c r="H1342" s="47" t="s">
        <v>40</v>
      </c>
      <c r="I1342" s="47" t="s">
        <v>253</v>
      </c>
      <c r="J1342" s="47" t="s">
        <v>28</v>
      </c>
      <c r="K1342" s="47" t="s">
        <v>34</v>
      </c>
    </row>
    <row r="1343" customFormat="false" ht="15" hidden="false" customHeight="false" outlineLevel="0" collapsed="false">
      <c r="A1343" s="0" t="s">
        <v>2254</v>
      </c>
      <c r="B1343" s="0" t="s">
        <v>2255</v>
      </c>
      <c r="D1343" s="46" t="n">
        <v>45731</v>
      </c>
      <c r="E1343" s="47" t="s">
        <v>62</v>
      </c>
      <c r="F1343" s="48" t="n">
        <v>56190.04</v>
      </c>
      <c r="G1343" s="47" t="s">
        <v>53</v>
      </c>
      <c r="H1343" s="47" t="s">
        <v>46</v>
      </c>
      <c r="I1343" s="47" t="s">
        <v>242</v>
      </c>
      <c r="J1343" s="47" t="s">
        <v>28</v>
      </c>
      <c r="K1343" s="47" t="s">
        <v>34</v>
      </c>
    </row>
    <row r="1344" customFormat="false" ht="15" hidden="false" customHeight="false" outlineLevel="0" collapsed="false">
      <c r="A1344" s="0" t="s">
        <v>2256</v>
      </c>
      <c r="B1344" s="0" t="s">
        <v>2257</v>
      </c>
      <c r="D1344" s="46" t="n">
        <v>46199</v>
      </c>
      <c r="E1344" s="47" t="s">
        <v>55</v>
      </c>
      <c r="F1344" s="48" t="n">
        <v>42715.55</v>
      </c>
      <c r="G1344" s="47" t="s">
        <v>57</v>
      </c>
      <c r="H1344" s="47" t="s">
        <v>48</v>
      </c>
      <c r="I1344" s="47" t="s">
        <v>212</v>
      </c>
      <c r="J1344" s="47" t="s">
        <v>28</v>
      </c>
      <c r="K1344" s="47" t="s">
        <v>34</v>
      </c>
    </row>
    <row r="1345" customFormat="false" ht="15" hidden="false" customHeight="false" outlineLevel="0" collapsed="false">
      <c r="A1345" s="0" t="s">
        <v>2258</v>
      </c>
      <c r="B1345" s="0" t="s">
        <v>1340</v>
      </c>
      <c r="D1345" s="46" t="n">
        <v>46111</v>
      </c>
      <c r="E1345" s="47" t="s">
        <v>58</v>
      </c>
      <c r="F1345" s="48" t="n">
        <v>105658.71</v>
      </c>
      <c r="G1345" s="47" t="s">
        <v>68</v>
      </c>
      <c r="H1345" s="47" t="s">
        <v>39</v>
      </c>
      <c r="I1345" s="47" t="s">
        <v>98</v>
      </c>
      <c r="J1345" s="47" t="s">
        <v>28</v>
      </c>
      <c r="K1345" s="47" t="s">
        <v>34</v>
      </c>
    </row>
    <row r="1346" customFormat="false" ht="15" hidden="false" customHeight="false" outlineLevel="0" collapsed="false">
      <c r="A1346" s="0" t="s">
        <v>2259</v>
      </c>
      <c r="B1346" s="0" t="s">
        <v>110</v>
      </c>
      <c r="D1346" s="46" t="n">
        <v>45826</v>
      </c>
      <c r="E1346" s="47" t="s">
        <v>58</v>
      </c>
      <c r="F1346" s="48" t="n">
        <v>15415.32</v>
      </c>
      <c r="G1346" s="47" t="s">
        <v>53</v>
      </c>
      <c r="H1346" s="47" t="s">
        <v>48</v>
      </c>
      <c r="I1346" s="47" t="s">
        <v>111</v>
      </c>
      <c r="J1346" s="47" t="s">
        <v>28</v>
      </c>
      <c r="K1346" s="47" t="s">
        <v>34</v>
      </c>
    </row>
    <row r="1347" customFormat="false" ht="15" hidden="false" customHeight="false" outlineLevel="0" collapsed="false">
      <c r="A1347" s="0" t="s">
        <v>2260</v>
      </c>
      <c r="B1347" s="0" t="s">
        <v>315</v>
      </c>
      <c r="D1347" s="46" t="n">
        <v>45708</v>
      </c>
      <c r="E1347" s="47" t="s">
        <v>61</v>
      </c>
      <c r="F1347" s="48" t="n">
        <v>80674.76</v>
      </c>
      <c r="G1347" s="47" t="s">
        <v>53</v>
      </c>
      <c r="H1347" s="47" t="s">
        <v>41</v>
      </c>
      <c r="I1347" s="47" t="s">
        <v>86</v>
      </c>
      <c r="J1347" s="47" t="s">
        <v>28</v>
      </c>
      <c r="K1347" s="47" t="s">
        <v>33</v>
      </c>
    </row>
    <row r="1348" customFormat="false" ht="15" hidden="false" customHeight="false" outlineLevel="0" collapsed="false">
      <c r="A1348" s="0" t="s">
        <v>2261</v>
      </c>
      <c r="B1348" s="0" t="s">
        <v>2262</v>
      </c>
      <c r="D1348" s="46" t="n">
        <v>46002</v>
      </c>
      <c r="E1348" s="47" t="s">
        <v>61</v>
      </c>
      <c r="F1348" s="48" t="n">
        <v>98416.03</v>
      </c>
      <c r="G1348" s="47" t="s">
        <v>53</v>
      </c>
      <c r="H1348" s="47" t="s">
        <v>48</v>
      </c>
      <c r="I1348" s="47" t="s">
        <v>111</v>
      </c>
      <c r="J1348" s="47" t="s">
        <v>28</v>
      </c>
      <c r="K1348" s="47" t="s">
        <v>34</v>
      </c>
    </row>
    <row r="1349" customFormat="false" ht="15" hidden="false" customHeight="false" outlineLevel="0" collapsed="false">
      <c r="A1349" s="0" t="s">
        <v>2263</v>
      </c>
      <c r="B1349" s="0" t="s">
        <v>1246</v>
      </c>
      <c r="D1349" s="46" t="n">
        <v>45888</v>
      </c>
      <c r="E1349" s="47" t="s">
        <v>61</v>
      </c>
      <c r="F1349" s="48" t="n">
        <v>81660.33</v>
      </c>
      <c r="G1349" s="47" t="s">
        <v>65</v>
      </c>
      <c r="H1349" s="47" t="s">
        <v>47</v>
      </c>
      <c r="I1349" s="47" t="s">
        <v>245</v>
      </c>
      <c r="J1349" s="47" t="s">
        <v>28</v>
      </c>
      <c r="K1349" s="47" t="s">
        <v>34</v>
      </c>
    </row>
    <row r="1350" customFormat="false" ht="15" hidden="false" customHeight="false" outlineLevel="0" collapsed="false">
      <c r="A1350" s="0" t="s">
        <v>2264</v>
      </c>
      <c r="B1350" s="0" t="s">
        <v>263</v>
      </c>
      <c r="D1350" s="46" t="n">
        <v>45836</v>
      </c>
      <c r="E1350" s="47" t="s">
        <v>55</v>
      </c>
      <c r="F1350" s="48" t="n">
        <v>68142.5</v>
      </c>
      <c r="G1350" s="47" t="s">
        <v>66</v>
      </c>
      <c r="H1350" s="47" t="s">
        <v>46</v>
      </c>
      <c r="I1350" s="47" t="s">
        <v>121</v>
      </c>
      <c r="J1350" s="47" t="s">
        <v>28</v>
      </c>
      <c r="K1350" s="47" t="s">
        <v>34</v>
      </c>
    </row>
    <row r="1351" customFormat="false" ht="15" hidden="false" customHeight="false" outlineLevel="0" collapsed="false">
      <c r="A1351" s="0" t="s">
        <v>2265</v>
      </c>
      <c r="B1351" s="0" t="s">
        <v>1694</v>
      </c>
      <c r="D1351" s="46" t="n">
        <v>45863</v>
      </c>
      <c r="E1351" s="47" t="s">
        <v>58</v>
      </c>
      <c r="F1351" s="48" t="n">
        <v>9918.01</v>
      </c>
      <c r="G1351" s="47" t="s">
        <v>57</v>
      </c>
      <c r="H1351" s="47" t="s">
        <v>39</v>
      </c>
      <c r="I1351" s="47" t="s">
        <v>177</v>
      </c>
      <c r="J1351" s="47" t="s">
        <v>28</v>
      </c>
      <c r="K1351" s="47" t="s">
        <v>34</v>
      </c>
    </row>
    <row r="1352" customFormat="false" ht="15" hidden="false" customHeight="false" outlineLevel="0" collapsed="false">
      <c r="A1352" s="0" t="s">
        <v>2266</v>
      </c>
      <c r="B1352" s="0" t="s">
        <v>2267</v>
      </c>
      <c r="D1352" s="46" t="n">
        <v>45724</v>
      </c>
      <c r="E1352" s="47" t="s">
        <v>59</v>
      </c>
      <c r="F1352" s="48" t="n">
        <v>144637.17</v>
      </c>
      <c r="G1352" s="47" t="s">
        <v>68</v>
      </c>
      <c r="H1352" s="47" t="s">
        <v>47</v>
      </c>
      <c r="I1352" s="47" t="s">
        <v>166</v>
      </c>
      <c r="J1352" s="47" t="s">
        <v>28</v>
      </c>
      <c r="K1352" s="47" t="s">
        <v>34</v>
      </c>
    </row>
    <row r="1353" customFormat="false" ht="15" hidden="false" customHeight="false" outlineLevel="0" collapsed="false">
      <c r="A1353" s="0" t="s">
        <v>2268</v>
      </c>
      <c r="B1353" s="0" t="s">
        <v>837</v>
      </c>
      <c r="D1353" s="46" t="n">
        <v>45684</v>
      </c>
      <c r="E1353" s="47" t="s">
        <v>55</v>
      </c>
      <c r="F1353" s="48" t="n">
        <v>50797.49</v>
      </c>
      <c r="G1353" s="47" t="s">
        <v>53</v>
      </c>
      <c r="H1353" s="47" t="s">
        <v>39</v>
      </c>
      <c r="I1353" s="47" t="s">
        <v>177</v>
      </c>
      <c r="J1353" s="47" t="s">
        <v>29</v>
      </c>
      <c r="K1353" s="47" t="s">
        <v>33</v>
      </c>
    </row>
    <row r="1354" customFormat="false" ht="15" hidden="false" customHeight="false" outlineLevel="0" collapsed="false">
      <c r="A1354" s="0" t="s">
        <v>2269</v>
      </c>
      <c r="B1354" s="0" t="s">
        <v>518</v>
      </c>
      <c r="D1354" s="46" t="n">
        <v>45927</v>
      </c>
      <c r="E1354" s="47" t="s">
        <v>53</v>
      </c>
      <c r="F1354" s="48" t="n">
        <v>69577.45</v>
      </c>
      <c r="G1354" s="47" t="s">
        <v>57</v>
      </c>
      <c r="H1354" s="47" t="s">
        <v>48</v>
      </c>
      <c r="I1354" s="47" t="s">
        <v>111</v>
      </c>
      <c r="J1354" s="47" t="s">
        <v>28</v>
      </c>
      <c r="K1354" s="47" t="s">
        <v>34</v>
      </c>
    </row>
    <row r="1355" customFormat="false" ht="15" hidden="false" customHeight="false" outlineLevel="0" collapsed="false">
      <c r="A1355" s="0" t="s">
        <v>2270</v>
      </c>
      <c r="B1355" s="0" t="s">
        <v>1276</v>
      </c>
      <c r="D1355" s="46" t="n">
        <v>46190</v>
      </c>
      <c r="E1355" s="47" t="s">
        <v>58</v>
      </c>
      <c r="F1355" s="48" t="n">
        <v>59186.79</v>
      </c>
      <c r="G1355" s="47" t="s">
        <v>53</v>
      </c>
      <c r="H1355" s="47" t="s">
        <v>46</v>
      </c>
      <c r="I1355" s="47" t="s">
        <v>121</v>
      </c>
      <c r="J1355" s="47" t="s">
        <v>28</v>
      </c>
      <c r="K1355" s="47" t="s">
        <v>34</v>
      </c>
    </row>
    <row r="1356" customFormat="false" ht="15" hidden="false" customHeight="false" outlineLevel="0" collapsed="false">
      <c r="A1356" s="0" t="s">
        <v>2271</v>
      </c>
      <c r="B1356" s="0" t="s">
        <v>2272</v>
      </c>
      <c r="D1356" s="46" t="n">
        <v>45749</v>
      </c>
      <c r="E1356" s="47" t="s">
        <v>59</v>
      </c>
      <c r="F1356" s="48" t="n">
        <v>84426.5</v>
      </c>
      <c r="G1356" s="47" t="s">
        <v>68</v>
      </c>
      <c r="H1356" s="47" t="s">
        <v>40</v>
      </c>
      <c r="I1356" s="47" t="s">
        <v>83</v>
      </c>
      <c r="J1356" s="47" t="s">
        <v>28</v>
      </c>
      <c r="K1356" s="47" t="s">
        <v>34</v>
      </c>
    </row>
    <row r="1357" customFormat="false" ht="15" hidden="false" customHeight="false" outlineLevel="0" collapsed="false">
      <c r="A1357" s="0" t="s">
        <v>2273</v>
      </c>
      <c r="B1357" s="0" t="s">
        <v>2058</v>
      </c>
      <c r="D1357" s="46" t="n">
        <v>45920</v>
      </c>
      <c r="E1357" s="47" t="s">
        <v>53</v>
      </c>
      <c r="F1357" s="48" t="n">
        <v>141177.54</v>
      </c>
      <c r="G1357" s="47" t="s">
        <v>57</v>
      </c>
      <c r="H1357" s="47" t="s">
        <v>44</v>
      </c>
      <c r="I1357" s="47" t="s">
        <v>80</v>
      </c>
      <c r="J1357" s="47" t="s">
        <v>28</v>
      </c>
      <c r="K1357" s="47" t="s">
        <v>33</v>
      </c>
    </row>
    <row r="1358" customFormat="false" ht="15" hidden="false" customHeight="false" outlineLevel="0" collapsed="false">
      <c r="A1358" s="0" t="s">
        <v>2274</v>
      </c>
      <c r="B1358" s="0" t="s">
        <v>577</v>
      </c>
      <c r="D1358" s="46" t="n">
        <v>46182</v>
      </c>
      <c r="E1358" s="47" t="s">
        <v>55</v>
      </c>
      <c r="F1358" s="48" t="n">
        <v>181843.44</v>
      </c>
      <c r="G1358" s="47" t="s">
        <v>53</v>
      </c>
      <c r="H1358" s="47" t="s">
        <v>40</v>
      </c>
      <c r="I1358" s="47" t="s">
        <v>253</v>
      </c>
      <c r="J1358" s="47" t="s">
        <v>28</v>
      </c>
      <c r="K1358" s="47" t="s">
        <v>34</v>
      </c>
    </row>
    <row r="1359" customFormat="false" ht="15" hidden="false" customHeight="false" outlineLevel="0" collapsed="false">
      <c r="A1359" s="0" t="s">
        <v>2275</v>
      </c>
      <c r="B1359" s="0" t="s">
        <v>531</v>
      </c>
      <c r="D1359" s="46" t="n">
        <v>45830</v>
      </c>
      <c r="E1359" s="47" t="s">
        <v>60</v>
      </c>
      <c r="F1359" s="48" t="n">
        <v>134969.03</v>
      </c>
      <c r="G1359" s="47" t="s">
        <v>65</v>
      </c>
      <c r="H1359" s="47" t="s">
        <v>41</v>
      </c>
      <c r="I1359" s="47" t="s">
        <v>86</v>
      </c>
      <c r="J1359" s="47" t="s">
        <v>28</v>
      </c>
      <c r="K1359" s="47" t="s">
        <v>33</v>
      </c>
    </row>
    <row r="1360" customFormat="false" ht="15" hidden="false" customHeight="false" outlineLevel="0" collapsed="false">
      <c r="A1360" s="0" t="s">
        <v>2276</v>
      </c>
      <c r="B1360" s="0" t="s">
        <v>1197</v>
      </c>
      <c r="D1360" s="46" t="n">
        <v>45899</v>
      </c>
      <c r="E1360" s="47" t="s">
        <v>55</v>
      </c>
      <c r="F1360" s="48" t="n">
        <v>128935.77</v>
      </c>
      <c r="G1360" s="47" t="s">
        <v>68</v>
      </c>
      <c r="H1360" s="47" t="s">
        <v>41</v>
      </c>
      <c r="I1360" s="47" t="s">
        <v>272</v>
      </c>
      <c r="J1360" s="47" t="s">
        <v>28</v>
      </c>
      <c r="K1360" s="47" t="s">
        <v>33</v>
      </c>
    </row>
    <row r="1361" customFormat="false" ht="15" hidden="false" customHeight="false" outlineLevel="0" collapsed="false">
      <c r="A1361" s="0" t="s">
        <v>2277</v>
      </c>
      <c r="B1361" s="0" t="s">
        <v>715</v>
      </c>
      <c r="D1361" s="46" t="n">
        <v>46269</v>
      </c>
      <c r="E1361" s="47" t="s">
        <v>53</v>
      </c>
      <c r="F1361" s="48" t="n">
        <v>47276.91</v>
      </c>
      <c r="G1361" s="47" t="s">
        <v>65</v>
      </c>
      <c r="H1361" s="47" t="s">
        <v>42</v>
      </c>
      <c r="I1361" s="47" t="s">
        <v>398</v>
      </c>
      <c r="J1361" s="47" t="s">
        <v>28</v>
      </c>
      <c r="K1361" s="47" t="s">
        <v>33</v>
      </c>
    </row>
    <row r="1362" customFormat="false" ht="15" hidden="false" customHeight="false" outlineLevel="0" collapsed="false">
      <c r="A1362" s="0" t="s">
        <v>2278</v>
      </c>
      <c r="B1362" s="0" t="s">
        <v>451</v>
      </c>
      <c r="D1362" s="46" t="n">
        <v>45794</v>
      </c>
      <c r="E1362" s="47" t="s">
        <v>53</v>
      </c>
      <c r="F1362" s="48" t="n">
        <v>29777</v>
      </c>
      <c r="G1362" s="47" t="s">
        <v>65</v>
      </c>
      <c r="H1362" s="47" t="s">
        <v>41</v>
      </c>
      <c r="I1362" s="47" t="s">
        <v>293</v>
      </c>
      <c r="J1362" s="47" t="s">
        <v>28</v>
      </c>
      <c r="K1362" s="47" t="s">
        <v>34</v>
      </c>
    </row>
    <row r="1363" customFormat="false" ht="15" hidden="false" customHeight="false" outlineLevel="0" collapsed="false">
      <c r="A1363" s="0" t="s">
        <v>2279</v>
      </c>
      <c r="B1363" s="0" t="s">
        <v>158</v>
      </c>
      <c r="D1363" s="46" t="n">
        <v>45960</v>
      </c>
      <c r="E1363" s="47" t="s">
        <v>55</v>
      </c>
      <c r="F1363" s="48" t="n">
        <v>51246.49</v>
      </c>
      <c r="G1363" s="47" t="s">
        <v>53</v>
      </c>
      <c r="H1363" s="47" t="s">
        <v>46</v>
      </c>
      <c r="I1363" s="47" t="s">
        <v>148</v>
      </c>
      <c r="J1363" s="47" t="s">
        <v>28</v>
      </c>
      <c r="K1363" s="47" t="s">
        <v>33</v>
      </c>
    </row>
    <row r="1364" customFormat="false" ht="15" hidden="false" customHeight="false" outlineLevel="0" collapsed="false">
      <c r="A1364" s="0" t="s">
        <v>2280</v>
      </c>
      <c r="B1364" s="0" t="s">
        <v>1385</v>
      </c>
      <c r="D1364" s="46" t="n">
        <v>46249</v>
      </c>
      <c r="E1364" s="47" t="s">
        <v>58</v>
      </c>
      <c r="F1364" s="48" t="n">
        <v>139028.98</v>
      </c>
      <c r="G1364" s="47" t="s">
        <v>57</v>
      </c>
      <c r="H1364" s="47" t="s">
        <v>40</v>
      </c>
      <c r="I1364" s="47" t="s">
        <v>83</v>
      </c>
      <c r="J1364" s="47" t="s">
        <v>28</v>
      </c>
      <c r="K1364" s="47" t="s">
        <v>34</v>
      </c>
    </row>
    <row r="1365" customFormat="false" ht="15" hidden="false" customHeight="false" outlineLevel="0" collapsed="false">
      <c r="A1365" s="0" t="s">
        <v>2281</v>
      </c>
      <c r="B1365" s="0" t="s">
        <v>1106</v>
      </c>
      <c r="D1365" s="46" t="n">
        <v>45800</v>
      </c>
      <c r="E1365" s="47" t="s">
        <v>59</v>
      </c>
      <c r="F1365" s="48" t="n">
        <v>112018.74</v>
      </c>
      <c r="G1365" s="47" t="s">
        <v>68</v>
      </c>
      <c r="H1365" s="47" t="s">
        <v>43</v>
      </c>
      <c r="I1365" s="47" t="s">
        <v>117</v>
      </c>
      <c r="J1365" s="47" t="s">
        <v>28</v>
      </c>
      <c r="K1365" s="47" t="s">
        <v>33</v>
      </c>
    </row>
    <row r="1366" customFormat="false" ht="15" hidden="false" customHeight="false" outlineLevel="0" collapsed="false">
      <c r="A1366" s="0" t="s">
        <v>2282</v>
      </c>
      <c r="B1366" s="0" t="s">
        <v>868</v>
      </c>
      <c r="D1366" s="46" t="n">
        <v>45711</v>
      </c>
      <c r="E1366" s="47" t="s">
        <v>60</v>
      </c>
      <c r="F1366" s="48" t="n">
        <v>5939.98</v>
      </c>
      <c r="G1366" s="47" t="s">
        <v>68</v>
      </c>
      <c r="H1366" s="47" t="s">
        <v>46</v>
      </c>
      <c r="I1366" s="47" t="s">
        <v>121</v>
      </c>
      <c r="J1366" s="47" t="s">
        <v>28</v>
      </c>
      <c r="K1366" s="47" t="s">
        <v>34</v>
      </c>
    </row>
    <row r="1367" customFormat="false" ht="15" hidden="false" customHeight="false" outlineLevel="0" collapsed="false">
      <c r="A1367" s="0" t="s">
        <v>2283</v>
      </c>
      <c r="B1367" s="0" t="s">
        <v>410</v>
      </c>
      <c r="C1367" s="0" t="s">
        <v>2284</v>
      </c>
      <c r="D1367" s="46" t="n">
        <v>45778</v>
      </c>
      <c r="E1367" s="47" t="s">
        <v>61</v>
      </c>
      <c r="F1367" s="48" t="n">
        <v>93142.13</v>
      </c>
      <c r="G1367" s="47" t="s">
        <v>53</v>
      </c>
      <c r="H1367" s="47" t="s">
        <v>47</v>
      </c>
      <c r="I1367" s="47" t="s">
        <v>245</v>
      </c>
      <c r="J1367" s="47" t="s">
        <v>29</v>
      </c>
      <c r="K1367" s="47" t="s">
        <v>34</v>
      </c>
    </row>
    <row r="1368" customFormat="false" ht="15" hidden="false" customHeight="false" outlineLevel="0" collapsed="false">
      <c r="A1368" s="0" t="s">
        <v>2285</v>
      </c>
      <c r="B1368" s="0" t="s">
        <v>252</v>
      </c>
      <c r="D1368" s="46" t="n">
        <v>45894</v>
      </c>
      <c r="E1368" s="47" t="s">
        <v>62</v>
      </c>
      <c r="F1368" s="48" t="n">
        <v>10511.77</v>
      </c>
      <c r="G1368" s="47" t="s">
        <v>66</v>
      </c>
      <c r="H1368" s="47" t="s">
        <v>40</v>
      </c>
      <c r="I1368" s="47" t="s">
        <v>253</v>
      </c>
      <c r="J1368" s="47" t="s">
        <v>28</v>
      </c>
      <c r="K1368" s="47" t="s">
        <v>33</v>
      </c>
    </row>
    <row r="1369" customFormat="false" ht="15" hidden="false" customHeight="false" outlineLevel="0" collapsed="false">
      <c r="A1369" s="0" t="s">
        <v>2286</v>
      </c>
      <c r="B1369" s="0" t="s">
        <v>2287</v>
      </c>
      <c r="D1369" s="46" t="n">
        <v>45866</v>
      </c>
      <c r="E1369" s="47" t="s">
        <v>59</v>
      </c>
      <c r="F1369" s="48" t="n">
        <v>94582.36</v>
      </c>
      <c r="G1369" s="47" t="s">
        <v>57</v>
      </c>
      <c r="H1369" s="47" t="s">
        <v>40</v>
      </c>
      <c r="I1369" s="47" t="s">
        <v>89</v>
      </c>
      <c r="J1369" s="47" t="s">
        <v>28</v>
      </c>
      <c r="K1369" s="47" t="s">
        <v>33</v>
      </c>
    </row>
    <row r="1370" customFormat="false" ht="15" hidden="false" customHeight="false" outlineLevel="0" collapsed="false">
      <c r="A1370" s="0" t="s">
        <v>2288</v>
      </c>
      <c r="B1370" s="0" t="s">
        <v>711</v>
      </c>
      <c r="D1370" s="46" t="n">
        <v>46042</v>
      </c>
      <c r="E1370" s="47" t="s">
        <v>60</v>
      </c>
      <c r="F1370" s="48" t="n">
        <v>182467.45</v>
      </c>
      <c r="G1370" s="47" t="s">
        <v>66</v>
      </c>
      <c r="H1370" s="47" t="s">
        <v>42</v>
      </c>
      <c r="I1370" s="47" t="s">
        <v>137</v>
      </c>
      <c r="J1370" s="47" t="s">
        <v>28</v>
      </c>
      <c r="K1370" s="47" t="s">
        <v>33</v>
      </c>
    </row>
    <row r="1371" customFormat="false" ht="15" hidden="false" customHeight="false" outlineLevel="0" collapsed="false">
      <c r="A1371" s="0" t="s">
        <v>2289</v>
      </c>
      <c r="B1371" s="0" t="s">
        <v>534</v>
      </c>
      <c r="D1371" s="46" t="n">
        <v>45693</v>
      </c>
      <c r="E1371" s="47" t="s">
        <v>60</v>
      </c>
      <c r="F1371" s="48" t="n">
        <v>21411.02</v>
      </c>
      <c r="G1371" s="47" t="s">
        <v>68</v>
      </c>
      <c r="H1371" s="47" t="s">
        <v>42</v>
      </c>
      <c r="I1371" s="47" t="s">
        <v>105</v>
      </c>
      <c r="J1371" s="47" t="s">
        <v>28</v>
      </c>
      <c r="K1371" s="47" t="s">
        <v>34</v>
      </c>
    </row>
    <row r="1372" customFormat="false" ht="15" hidden="false" customHeight="false" outlineLevel="0" collapsed="false">
      <c r="A1372" s="0" t="s">
        <v>2290</v>
      </c>
      <c r="B1372" s="0" t="s">
        <v>2252</v>
      </c>
      <c r="D1372" s="46" t="n">
        <v>46142</v>
      </c>
      <c r="E1372" s="47" t="s">
        <v>60</v>
      </c>
      <c r="F1372" s="48" t="n">
        <v>193857.4</v>
      </c>
      <c r="G1372" s="47" t="s">
        <v>65</v>
      </c>
      <c r="H1372" s="47" t="s">
        <v>43</v>
      </c>
      <c r="I1372" s="47" t="s">
        <v>117</v>
      </c>
      <c r="J1372" s="47" t="s">
        <v>28</v>
      </c>
      <c r="K1372" s="47" t="s">
        <v>33</v>
      </c>
    </row>
    <row r="1373" customFormat="false" ht="15" hidden="false" customHeight="false" outlineLevel="0" collapsed="false">
      <c r="A1373" s="0" t="s">
        <v>2291</v>
      </c>
      <c r="B1373" s="0" t="s">
        <v>642</v>
      </c>
      <c r="D1373" s="46" t="n">
        <v>45997</v>
      </c>
      <c r="E1373" s="47" t="s">
        <v>59</v>
      </c>
      <c r="F1373" s="48" t="n">
        <v>149319.95</v>
      </c>
      <c r="G1373" s="47" t="s">
        <v>53</v>
      </c>
      <c r="H1373" s="47" t="s">
        <v>43</v>
      </c>
      <c r="I1373" s="47" t="s">
        <v>102</v>
      </c>
      <c r="J1373" s="47" t="s">
        <v>28</v>
      </c>
      <c r="K1373" s="47" t="s">
        <v>34</v>
      </c>
    </row>
    <row r="1374" customFormat="false" ht="15" hidden="false" customHeight="false" outlineLevel="0" collapsed="false">
      <c r="A1374" s="0" t="s">
        <v>2292</v>
      </c>
      <c r="B1374" s="0" t="s">
        <v>954</v>
      </c>
      <c r="C1374" s="0" t="s">
        <v>2293</v>
      </c>
      <c r="D1374" s="46" t="n">
        <v>45825</v>
      </c>
      <c r="E1374" s="47" t="s">
        <v>53</v>
      </c>
      <c r="F1374" s="48" t="n">
        <v>146885.36</v>
      </c>
      <c r="G1374" s="47" t="s">
        <v>66</v>
      </c>
      <c r="H1374" s="47" t="s">
        <v>42</v>
      </c>
      <c r="I1374" s="47" t="s">
        <v>105</v>
      </c>
      <c r="J1374" s="47" t="s">
        <v>28</v>
      </c>
      <c r="K1374" s="47" t="s">
        <v>34</v>
      </c>
    </row>
    <row r="1375" customFormat="false" ht="15" hidden="false" customHeight="false" outlineLevel="0" collapsed="false">
      <c r="A1375" s="0" t="s">
        <v>2294</v>
      </c>
      <c r="B1375" s="0" t="s">
        <v>2227</v>
      </c>
      <c r="D1375" s="46" t="n">
        <v>45681</v>
      </c>
      <c r="E1375" s="47" t="s">
        <v>60</v>
      </c>
      <c r="F1375" s="48" t="n">
        <v>140657.32</v>
      </c>
      <c r="G1375" s="47" t="s">
        <v>53</v>
      </c>
      <c r="H1375" s="47" t="s">
        <v>47</v>
      </c>
      <c r="I1375" s="47" t="s">
        <v>108</v>
      </c>
      <c r="J1375" s="47" t="s">
        <v>28</v>
      </c>
      <c r="K1375" s="47" t="s">
        <v>33</v>
      </c>
    </row>
    <row r="1376" customFormat="false" ht="15" hidden="false" customHeight="false" outlineLevel="0" collapsed="false">
      <c r="A1376" s="0" t="s">
        <v>2295</v>
      </c>
      <c r="B1376" s="0" t="s">
        <v>237</v>
      </c>
      <c r="D1376" s="46" t="n">
        <v>45920</v>
      </c>
      <c r="E1376" s="47" t="s">
        <v>53</v>
      </c>
      <c r="F1376" s="48" t="n">
        <v>25113.41</v>
      </c>
      <c r="G1376" s="47" t="s">
        <v>68</v>
      </c>
      <c r="H1376" s="47" t="s">
        <v>47</v>
      </c>
      <c r="I1376" s="47" t="s">
        <v>108</v>
      </c>
      <c r="J1376" s="47" t="s">
        <v>28</v>
      </c>
      <c r="K1376" s="47" t="s">
        <v>33</v>
      </c>
    </row>
    <row r="1377" customFormat="false" ht="15" hidden="false" customHeight="false" outlineLevel="0" collapsed="false">
      <c r="A1377" s="0" t="s">
        <v>2296</v>
      </c>
      <c r="B1377" s="0" t="s">
        <v>2297</v>
      </c>
      <c r="D1377" s="46" t="n">
        <v>45759</v>
      </c>
      <c r="E1377" s="47" t="s">
        <v>62</v>
      </c>
      <c r="F1377" s="48" t="n">
        <v>99243.15</v>
      </c>
      <c r="G1377" s="47" t="s">
        <v>66</v>
      </c>
      <c r="H1377" s="47" t="s">
        <v>48</v>
      </c>
      <c r="I1377" s="47" t="s">
        <v>114</v>
      </c>
      <c r="J1377" s="47" t="s">
        <v>28</v>
      </c>
      <c r="K1377" s="47" t="s">
        <v>34</v>
      </c>
    </row>
    <row r="1378" customFormat="false" ht="15" hidden="false" customHeight="false" outlineLevel="0" collapsed="false">
      <c r="A1378" s="0" t="s">
        <v>2298</v>
      </c>
      <c r="B1378" s="0" t="s">
        <v>1748</v>
      </c>
      <c r="D1378" s="46" t="n">
        <v>45661</v>
      </c>
      <c r="E1378" s="47" t="s">
        <v>53</v>
      </c>
      <c r="F1378" s="48" t="n">
        <v>117383.94</v>
      </c>
      <c r="G1378" s="47" t="s">
        <v>53</v>
      </c>
      <c r="H1378" s="47" t="s">
        <v>46</v>
      </c>
      <c r="I1378" s="47" t="s">
        <v>242</v>
      </c>
      <c r="J1378" s="47" t="s">
        <v>28</v>
      </c>
      <c r="K1378" s="47" t="s">
        <v>33</v>
      </c>
    </row>
    <row r="1379" customFormat="false" ht="15" hidden="false" customHeight="false" outlineLevel="0" collapsed="false">
      <c r="A1379" s="0" t="s">
        <v>2299</v>
      </c>
      <c r="B1379" s="0" t="s">
        <v>629</v>
      </c>
      <c r="D1379" s="46" t="n">
        <v>46198</v>
      </c>
      <c r="E1379" s="47" t="s">
        <v>59</v>
      </c>
      <c r="F1379" s="48" t="n">
        <v>191118.05</v>
      </c>
      <c r="G1379" s="47" t="s">
        <v>57</v>
      </c>
      <c r="H1379" s="47" t="s">
        <v>41</v>
      </c>
      <c r="I1379" s="47" t="s">
        <v>293</v>
      </c>
      <c r="J1379" s="47" t="s">
        <v>28</v>
      </c>
      <c r="K1379" s="47" t="s">
        <v>34</v>
      </c>
    </row>
    <row r="1380" customFormat="false" ht="15" hidden="false" customHeight="false" outlineLevel="0" collapsed="false">
      <c r="A1380" s="0" t="s">
        <v>2300</v>
      </c>
      <c r="B1380" s="0" t="s">
        <v>1143</v>
      </c>
      <c r="D1380" s="46" t="n">
        <v>46083</v>
      </c>
      <c r="E1380" s="47" t="s">
        <v>59</v>
      </c>
      <c r="F1380" s="48" t="n">
        <v>19175.99</v>
      </c>
      <c r="G1380" s="47" t="s">
        <v>66</v>
      </c>
      <c r="H1380" s="47" t="s">
        <v>47</v>
      </c>
      <c r="I1380" s="47" t="s">
        <v>245</v>
      </c>
      <c r="J1380" s="47" t="s">
        <v>28</v>
      </c>
      <c r="K1380" s="47" t="s">
        <v>34</v>
      </c>
    </row>
    <row r="1381" customFormat="false" ht="15" hidden="false" customHeight="false" outlineLevel="0" collapsed="false">
      <c r="A1381" s="0" t="s">
        <v>2301</v>
      </c>
      <c r="B1381" s="0" t="s">
        <v>2302</v>
      </c>
      <c r="C1381" s="0" t="s">
        <v>2303</v>
      </c>
      <c r="D1381" s="46" t="n">
        <v>46144</v>
      </c>
      <c r="E1381" s="47" t="s">
        <v>55</v>
      </c>
      <c r="F1381" s="48" t="n">
        <v>18330.92</v>
      </c>
      <c r="G1381" s="47" t="s">
        <v>53</v>
      </c>
      <c r="H1381" s="47" t="s">
        <v>40</v>
      </c>
      <c r="I1381" s="47" t="s">
        <v>89</v>
      </c>
      <c r="J1381" s="47" t="s">
        <v>28</v>
      </c>
      <c r="K1381" s="47" t="s">
        <v>34</v>
      </c>
    </row>
    <row r="1382" customFormat="false" ht="15" hidden="false" customHeight="false" outlineLevel="0" collapsed="false">
      <c r="A1382" s="0" t="s">
        <v>2304</v>
      </c>
      <c r="B1382" s="0" t="s">
        <v>136</v>
      </c>
      <c r="D1382" s="46" t="n">
        <v>46254</v>
      </c>
      <c r="E1382" s="47" t="s">
        <v>61</v>
      </c>
      <c r="F1382" s="48" t="n">
        <v>26862.43</v>
      </c>
      <c r="G1382" s="47" t="s">
        <v>53</v>
      </c>
      <c r="H1382" s="47" t="s">
        <v>42</v>
      </c>
      <c r="I1382" s="47" t="s">
        <v>137</v>
      </c>
      <c r="J1382" s="47" t="s">
        <v>28</v>
      </c>
      <c r="K1382" s="47" t="s">
        <v>34</v>
      </c>
    </row>
    <row r="1383" customFormat="false" ht="15" hidden="false" customHeight="false" outlineLevel="0" collapsed="false">
      <c r="A1383" s="0" t="s">
        <v>2305</v>
      </c>
      <c r="B1383" s="0" t="s">
        <v>1826</v>
      </c>
      <c r="C1383" s="0" t="s">
        <v>2306</v>
      </c>
      <c r="D1383" s="46" t="n">
        <v>45665</v>
      </c>
      <c r="E1383" s="47" t="s">
        <v>61</v>
      </c>
      <c r="F1383" s="48" t="n">
        <v>56296.83</v>
      </c>
      <c r="G1383" s="47" t="s">
        <v>68</v>
      </c>
      <c r="H1383" s="47" t="s">
        <v>43</v>
      </c>
      <c r="I1383" s="47" t="s">
        <v>102</v>
      </c>
      <c r="J1383" s="47" t="s">
        <v>28</v>
      </c>
      <c r="K1383" s="47" t="s">
        <v>34</v>
      </c>
    </row>
    <row r="1384" customFormat="false" ht="15" hidden="false" customHeight="false" outlineLevel="0" collapsed="false">
      <c r="A1384" s="0" t="s">
        <v>2307</v>
      </c>
      <c r="B1384" s="0" t="s">
        <v>247</v>
      </c>
      <c r="D1384" s="46" t="n">
        <v>46239</v>
      </c>
      <c r="E1384" s="47" t="s">
        <v>59</v>
      </c>
      <c r="F1384" s="48" t="n">
        <v>23597.11</v>
      </c>
      <c r="G1384" s="47" t="s">
        <v>66</v>
      </c>
      <c r="H1384" s="47" t="s">
        <v>44</v>
      </c>
      <c r="I1384" s="47" t="s">
        <v>80</v>
      </c>
      <c r="J1384" s="47" t="s">
        <v>28</v>
      </c>
      <c r="K1384" s="47" t="s">
        <v>34</v>
      </c>
    </row>
    <row r="1385" customFormat="false" ht="15" hidden="false" customHeight="false" outlineLevel="0" collapsed="false">
      <c r="A1385" s="0" t="s">
        <v>2308</v>
      </c>
      <c r="B1385" s="0" t="s">
        <v>2255</v>
      </c>
      <c r="D1385" s="46" t="n">
        <v>46237</v>
      </c>
      <c r="E1385" s="47" t="s">
        <v>53</v>
      </c>
      <c r="F1385" s="48" t="n">
        <v>198177.73</v>
      </c>
      <c r="G1385" s="47" t="s">
        <v>53</v>
      </c>
      <c r="H1385" s="47" t="s">
        <v>46</v>
      </c>
      <c r="I1385" s="47" t="s">
        <v>242</v>
      </c>
      <c r="J1385" s="47" t="s">
        <v>28</v>
      </c>
      <c r="K1385" s="47" t="s">
        <v>33</v>
      </c>
    </row>
    <row r="1386" customFormat="false" ht="15" hidden="false" customHeight="false" outlineLevel="0" collapsed="false">
      <c r="A1386" s="0" t="s">
        <v>2309</v>
      </c>
      <c r="B1386" s="0" t="s">
        <v>879</v>
      </c>
      <c r="D1386" s="46" t="n">
        <v>46007</v>
      </c>
      <c r="E1386" s="47" t="s">
        <v>55</v>
      </c>
      <c r="F1386" s="48" t="n">
        <v>91447.86</v>
      </c>
      <c r="G1386" s="47" t="s">
        <v>57</v>
      </c>
      <c r="H1386" s="47" t="s">
        <v>48</v>
      </c>
      <c r="I1386" s="47" t="s">
        <v>114</v>
      </c>
      <c r="J1386" s="47" t="s">
        <v>28</v>
      </c>
      <c r="K1386" s="47" t="s">
        <v>33</v>
      </c>
    </row>
    <row r="1387" customFormat="false" ht="15" hidden="false" customHeight="false" outlineLevel="0" collapsed="false">
      <c r="A1387" s="0" t="s">
        <v>2310</v>
      </c>
      <c r="B1387" s="0" t="s">
        <v>2214</v>
      </c>
      <c r="C1387" s="0" t="s">
        <v>2311</v>
      </c>
      <c r="D1387" s="46" t="n">
        <v>46187</v>
      </c>
      <c r="E1387" s="47" t="s">
        <v>61</v>
      </c>
      <c r="F1387" s="48" t="n">
        <v>126449.79</v>
      </c>
      <c r="G1387" s="47" t="s">
        <v>68</v>
      </c>
      <c r="H1387" s="47" t="s">
        <v>44</v>
      </c>
      <c r="I1387" s="47" t="s">
        <v>226</v>
      </c>
      <c r="J1387" s="47" t="s">
        <v>28</v>
      </c>
      <c r="K1387" s="47" t="s">
        <v>34</v>
      </c>
    </row>
    <row r="1388" customFormat="false" ht="15" hidden="false" customHeight="false" outlineLevel="0" collapsed="false">
      <c r="A1388" s="0" t="s">
        <v>2312</v>
      </c>
      <c r="B1388" s="0" t="s">
        <v>459</v>
      </c>
      <c r="D1388" s="46" t="n">
        <v>45673</v>
      </c>
      <c r="E1388" s="47" t="s">
        <v>53</v>
      </c>
      <c r="F1388" s="48" t="n">
        <v>4942.15</v>
      </c>
      <c r="G1388" s="47" t="s">
        <v>68</v>
      </c>
      <c r="H1388" s="47" t="s">
        <v>45</v>
      </c>
      <c r="I1388" s="47" t="s">
        <v>217</v>
      </c>
      <c r="J1388" s="47" t="s">
        <v>29</v>
      </c>
      <c r="K1388" s="47" t="s">
        <v>33</v>
      </c>
    </row>
    <row r="1389" customFormat="false" ht="15" hidden="false" customHeight="false" outlineLevel="0" collapsed="false">
      <c r="A1389" s="0" t="s">
        <v>2313</v>
      </c>
      <c r="B1389" s="0" t="s">
        <v>1495</v>
      </c>
      <c r="D1389" s="46" t="n">
        <v>46113</v>
      </c>
      <c r="E1389" s="47" t="s">
        <v>59</v>
      </c>
      <c r="F1389" s="48" t="n">
        <v>15520.16</v>
      </c>
      <c r="G1389" s="47" t="s">
        <v>57</v>
      </c>
      <c r="H1389" s="47" t="s">
        <v>42</v>
      </c>
      <c r="I1389" s="47" t="s">
        <v>105</v>
      </c>
      <c r="J1389" s="47" t="s">
        <v>28</v>
      </c>
      <c r="K1389" s="47" t="s">
        <v>33</v>
      </c>
    </row>
    <row r="1390" customFormat="false" ht="15" hidden="false" customHeight="false" outlineLevel="0" collapsed="false">
      <c r="A1390" s="0" t="s">
        <v>2314</v>
      </c>
      <c r="B1390" s="0" t="s">
        <v>1467</v>
      </c>
      <c r="D1390" s="46" t="n">
        <v>45664</v>
      </c>
      <c r="E1390" s="47" t="s">
        <v>62</v>
      </c>
      <c r="F1390" s="48" t="n">
        <v>22872</v>
      </c>
      <c r="G1390" s="47" t="s">
        <v>68</v>
      </c>
      <c r="H1390" s="47" t="s">
        <v>45</v>
      </c>
      <c r="I1390" s="47" t="s">
        <v>151</v>
      </c>
      <c r="J1390" s="47" t="s">
        <v>28</v>
      </c>
      <c r="K1390" s="47" t="s">
        <v>34</v>
      </c>
    </row>
    <row r="1391" customFormat="false" ht="15" hidden="false" customHeight="false" outlineLevel="0" collapsed="false">
      <c r="A1391" s="0" t="s">
        <v>2315</v>
      </c>
      <c r="B1391" s="0" t="s">
        <v>2316</v>
      </c>
      <c r="D1391" s="46" t="n">
        <v>46231</v>
      </c>
      <c r="E1391" s="47" t="s">
        <v>59</v>
      </c>
      <c r="F1391" s="48" t="n">
        <v>59648.76</v>
      </c>
      <c r="G1391" s="47" t="s">
        <v>68</v>
      </c>
      <c r="H1391" s="47" t="s">
        <v>42</v>
      </c>
      <c r="I1391" s="47" t="s">
        <v>137</v>
      </c>
      <c r="J1391" s="47" t="s">
        <v>28</v>
      </c>
      <c r="K1391" s="47" t="s">
        <v>33</v>
      </c>
    </row>
    <row r="1392" customFormat="false" ht="15" hidden="false" customHeight="false" outlineLevel="0" collapsed="false">
      <c r="A1392" s="0" t="s">
        <v>2317</v>
      </c>
      <c r="B1392" s="0" t="s">
        <v>324</v>
      </c>
      <c r="D1392" s="46" t="n">
        <v>45689</v>
      </c>
      <c r="E1392" s="47" t="s">
        <v>55</v>
      </c>
      <c r="F1392" s="48" t="n">
        <v>187132.88</v>
      </c>
      <c r="G1392" s="47" t="s">
        <v>66</v>
      </c>
      <c r="H1392" s="47" t="s">
        <v>44</v>
      </c>
      <c r="I1392" s="47" t="s">
        <v>226</v>
      </c>
      <c r="J1392" s="47" t="s">
        <v>30</v>
      </c>
      <c r="K1392" s="47" t="s">
        <v>34</v>
      </c>
    </row>
    <row r="1393" customFormat="false" ht="15" hidden="false" customHeight="false" outlineLevel="0" collapsed="false">
      <c r="A1393" s="0" t="s">
        <v>2318</v>
      </c>
      <c r="B1393" s="0" t="s">
        <v>2115</v>
      </c>
      <c r="D1393" s="46" t="n">
        <v>46125</v>
      </c>
      <c r="E1393" s="47" t="s">
        <v>60</v>
      </c>
      <c r="F1393" s="48" t="n">
        <v>107560.55</v>
      </c>
      <c r="G1393" s="47" t="s">
        <v>65</v>
      </c>
      <c r="H1393" s="47" t="s">
        <v>41</v>
      </c>
      <c r="I1393" s="47" t="s">
        <v>272</v>
      </c>
      <c r="J1393" s="47" t="s">
        <v>28</v>
      </c>
      <c r="K1393" s="47" t="s">
        <v>33</v>
      </c>
    </row>
    <row r="1394" customFormat="false" ht="15" hidden="false" customHeight="false" outlineLevel="0" collapsed="false">
      <c r="A1394" s="0" t="s">
        <v>2319</v>
      </c>
      <c r="B1394" s="0" t="s">
        <v>244</v>
      </c>
      <c r="D1394" s="46" t="n">
        <v>46158</v>
      </c>
      <c r="E1394" s="47" t="s">
        <v>61</v>
      </c>
      <c r="F1394" s="48" t="n">
        <v>126651.79</v>
      </c>
      <c r="G1394" s="47" t="s">
        <v>68</v>
      </c>
      <c r="H1394" s="47" t="s">
        <v>47</v>
      </c>
      <c r="I1394" s="47" t="s">
        <v>245</v>
      </c>
      <c r="J1394" s="47" t="s">
        <v>28</v>
      </c>
      <c r="K1394" s="47" t="s">
        <v>33</v>
      </c>
    </row>
    <row r="1395" customFormat="false" ht="15" hidden="false" customHeight="false" outlineLevel="0" collapsed="false">
      <c r="A1395" s="0" t="s">
        <v>2320</v>
      </c>
      <c r="B1395" s="0" t="s">
        <v>848</v>
      </c>
      <c r="D1395" s="46" t="n">
        <v>45894</v>
      </c>
      <c r="E1395" s="47" t="s">
        <v>59</v>
      </c>
      <c r="F1395" s="48" t="n">
        <v>27797.63</v>
      </c>
      <c r="G1395" s="47" t="s">
        <v>53</v>
      </c>
      <c r="H1395" s="47" t="s">
        <v>43</v>
      </c>
      <c r="I1395" s="47" t="s">
        <v>117</v>
      </c>
      <c r="J1395" s="47" t="s">
        <v>29</v>
      </c>
      <c r="K1395" s="47" t="s">
        <v>33</v>
      </c>
    </row>
    <row r="1396" customFormat="false" ht="15" hidden="false" customHeight="false" outlineLevel="0" collapsed="false">
      <c r="A1396" s="0" t="s">
        <v>2321</v>
      </c>
      <c r="B1396" s="0" t="s">
        <v>2047</v>
      </c>
      <c r="C1396" s="0" t="s">
        <v>2322</v>
      </c>
      <c r="D1396" s="46" t="n">
        <v>45792</v>
      </c>
      <c r="E1396" s="47" t="s">
        <v>61</v>
      </c>
      <c r="F1396" s="48" t="n">
        <v>155062.68</v>
      </c>
      <c r="G1396" s="47" t="s">
        <v>53</v>
      </c>
      <c r="H1396" s="47" t="s">
        <v>40</v>
      </c>
      <c r="I1396" s="47" t="s">
        <v>83</v>
      </c>
      <c r="J1396" s="47" t="s">
        <v>28</v>
      </c>
      <c r="K1396" s="47" t="s">
        <v>33</v>
      </c>
    </row>
    <row r="1397" customFormat="false" ht="15" hidden="false" customHeight="false" outlineLevel="0" collapsed="false">
      <c r="A1397" s="0" t="s">
        <v>2323</v>
      </c>
      <c r="B1397" s="0" t="s">
        <v>382</v>
      </c>
      <c r="D1397" s="46" t="n">
        <v>45757</v>
      </c>
      <c r="E1397" s="47" t="s">
        <v>55</v>
      </c>
      <c r="F1397" s="48" t="n">
        <v>127779.42</v>
      </c>
      <c r="G1397" s="47" t="s">
        <v>53</v>
      </c>
      <c r="H1397" s="47" t="s">
        <v>43</v>
      </c>
      <c r="I1397" s="47" t="s">
        <v>201</v>
      </c>
      <c r="J1397" s="47" t="s">
        <v>28</v>
      </c>
      <c r="K1397" s="47" t="s">
        <v>33</v>
      </c>
    </row>
    <row r="1398" customFormat="false" ht="15" hidden="false" customHeight="false" outlineLevel="0" collapsed="false">
      <c r="A1398" s="0" t="s">
        <v>2324</v>
      </c>
      <c r="B1398" s="0" t="s">
        <v>2325</v>
      </c>
      <c r="D1398" s="46" t="n">
        <v>46285</v>
      </c>
      <c r="E1398" s="47" t="s">
        <v>61</v>
      </c>
      <c r="F1398" s="48" t="n">
        <v>77179.67</v>
      </c>
      <c r="G1398" s="47" t="s">
        <v>57</v>
      </c>
      <c r="H1398" s="47" t="s">
        <v>47</v>
      </c>
      <c r="I1398" s="47" t="s">
        <v>108</v>
      </c>
      <c r="J1398" s="47" t="s">
        <v>28</v>
      </c>
      <c r="K1398" s="47" t="s">
        <v>34</v>
      </c>
    </row>
    <row r="1399" customFormat="false" ht="15" hidden="false" customHeight="false" outlineLevel="0" collapsed="false">
      <c r="A1399" s="0" t="s">
        <v>2326</v>
      </c>
      <c r="B1399" s="0" t="s">
        <v>2327</v>
      </c>
      <c r="D1399" s="46" t="n">
        <v>45910</v>
      </c>
      <c r="E1399" s="47" t="s">
        <v>53</v>
      </c>
      <c r="F1399" s="48" t="n">
        <v>127963.45</v>
      </c>
      <c r="G1399" s="47" t="s">
        <v>57</v>
      </c>
      <c r="H1399" s="47" t="s">
        <v>42</v>
      </c>
      <c r="I1399" s="47" t="s">
        <v>398</v>
      </c>
      <c r="J1399" s="47" t="s">
        <v>28</v>
      </c>
      <c r="K1399" s="47" t="s">
        <v>33</v>
      </c>
    </row>
    <row r="1400" customFormat="false" ht="15" hidden="false" customHeight="false" outlineLevel="0" collapsed="false">
      <c r="A1400" s="0" t="s">
        <v>2328</v>
      </c>
      <c r="B1400" s="0" t="s">
        <v>228</v>
      </c>
      <c r="D1400" s="46" t="n">
        <v>45998</v>
      </c>
      <c r="E1400" s="47" t="s">
        <v>60</v>
      </c>
      <c r="F1400" s="48" t="n">
        <v>182593.06</v>
      </c>
      <c r="G1400" s="47" t="s">
        <v>53</v>
      </c>
      <c r="H1400" s="47" t="s">
        <v>46</v>
      </c>
      <c r="I1400" s="47" t="s">
        <v>121</v>
      </c>
      <c r="J1400" s="47" t="s">
        <v>28</v>
      </c>
      <c r="K1400" s="47" t="s">
        <v>34</v>
      </c>
    </row>
    <row r="1401" customFormat="false" ht="15" hidden="false" customHeight="false" outlineLevel="0" collapsed="false">
      <c r="A1401" s="0" t="s">
        <v>2329</v>
      </c>
      <c r="B1401" s="0" t="s">
        <v>197</v>
      </c>
      <c r="D1401" s="46" t="n">
        <v>45665</v>
      </c>
      <c r="E1401" s="47" t="s">
        <v>61</v>
      </c>
      <c r="F1401" s="48" t="n">
        <v>111467.49</v>
      </c>
      <c r="G1401" s="47" t="s">
        <v>66</v>
      </c>
      <c r="H1401" s="47" t="s">
        <v>44</v>
      </c>
      <c r="I1401" s="47" t="s">
        <v>80</v>
      </c>
      <c r="J1401" s="47" t="s">
        <v>28</v>
      </c>
      <c r="K1401" s="47" t="s">
        <v>33</v>
      </c>
    </row>
    <row r="1402" customFormat="false" ht="15" hidden="false" customHeight="false" outlineLevel="0" collapsed="false">
      <c r="A1402" s="0" t="s">
        <v>2330</v>
      </c>
      <c r="B1402" s="0" t="s">
        <v>2267</v>
      </c>
      <c r="D1402" s="46" t="n">
        <v>46287</v>
      </c>
      <c r="E1402" s="47" t="s">
        <v>61</v>
      </c>
      <c r="F1402" s="48" t="n">
        <v>197563.71</v>
      </c>
      <c r="G1402" s="47" t="s">
        <v>66</v>
      </c>
      <c r="H1402" s="47" t="s">
        <v>47</v>
      </c>
      <c r="I1402" s="47" t="s">
        <v>166</v>
      </c>
      <c r="J1402" s="47" t="s">
        <v>28</v>
      </c>
      <c r="K1402" s="47" t="s">
        <v>33</v>
      </c>
    </row>
    <row r="1403" customFormat="false" ht="15" hidden="false" customHeight="false" outlineLevel="0" collapsed="false">
      <c r="A1403" s="0" t="s">
        <v>2331</v>
      </c>
      <c r="B1403" s="0" t="s">
        <v>1066</v>
      </c>
      <c r="D1403" s="46" t="n">
        <v>46032</v>
      </c>
      <c r="E1403" s="47" t="s">
        <v>62</v>
      </c>
      <c r="F1403" s="48" t="n">
        <v>138625.37</v>
      </c>
      <c r="G1403" s="47" t="s">
        <v>65</v>
      </c>
      <c r="H1403" s="47" t="s">
        <v>39</v>
      </c>
      <c r="I1403" s="47" t="s">
        <v>98</v>
      </c>
      <c r="J1403" s="47" t="s">
        <v>28</v>
      </c>
      <c r="K1403" s="47" t="s">
        <v>34</v>
      </c>
    </row>
    <row r="1404" customFormat="false" ht="15" hidden="false" customHeight="false" outlineLevel="0" collapsed="false">
      <c r="A1404" s="0" t="s">
        <v>2332</v>
      </c>
      <c r="B1404" s="0" t="s">
        <v>509</v>
      </c>
      <c r="D1404" s="46" t="n">
        <v>46114</v>
      </c>
      <c r="E1404" s="47" t="s">
        <v>61</v>
      </c>
      <c r="F1404" s="48" t="n">
        <v>113697.31</v>
      </c>
      <c r="G1404" s="47" t="s">
        <v>65</v>
      </c>
      <c r="H1404" s="47" t="s">
        <v>46</v>
      </c>
      <c r="I1404" s="47" t="s">
        <v>121</v>
      </c>
      <c r="J1404" s="47" t="s">
        <v>28</v>
      </c>
      <c r="K1404" s="47" t="s">
        <v>33</v>
      </c>
    </row>
    <row r="1405" customFormat="false" ht="15" hidden="false" customHeight="false" outlineLevel="0" collapsed="false">
      <c r="A1405" s="0" t="s">
        <v>2333</v>
      </c>
      <c r="B1405" s="0" t="s">
        <v>1042</v>
      </c>
      <c r="D1405" s="46" t="n">
        <v>46286</v>
      </c>
      <c r="E1405" s="47" t="s">
        <v>61</v>
      </c>
      <c r="F1405" s="48" t="n">
        <v>17606.45</v>
      </c>
      <c r="G1405" s="47" t="s">
        <v>66</v>
      </c>
      <c r="H1405" s="47" t="s">
        <v>47</v>
      </c>
      <c r="I1405" s="47" t="s">
        <v>166</v>
      </c>
      <c r="J1405" s="47" t="s">
        <v>28</v>
      </c>
      <c r="K1405" s="47" t="s">
        <v>33</v>
      </c>
    </row>
    <row r="1406" customFormat="false" ht="15" hidden="false" customHeight="false" outlineLevel="0" collapsed="false">
      <c r="A1406" s="0" t="s">
        <v>2334</v>
      </c>
      <c r="B1406" s="0" t="s">
        <v>158</v>
      </c>
      <c r="D1406" s="46" t="n">
        <v>45994</v>
      </c>
      <c r="E1406" s="47" t="s">
        <v>55</v>
      </c>
      <c r="F1406" s="48" t="n">
        <v>192357.59</v>
      </c>
      <c r="G1406" s="47" t="s">
        <v>65</v>
      </c>
      <c r="H1406" s="47" t="s">
        <v>46</v>
      </c>
      <c r="I1406" s="47" t="s">
        <v>148</v>
      </c>
      <c r="J1406" s="47" t="s">
        <v>29</v>
      </c>
      <c r="K1406" s="47" t="s">
        <v>33</v>
      </c>
    </row>
    <row r="1407" customFormat="false" ht="15" hidden="false" customHeight="false" outlineLevel="0" collapsed="false">
      <c r="A1407" s="0" t="s">
        <v>2335</v>
      </c>
      <c r="B1407" s="0" t="s">
        <v>2037</v>
      </c>
      <c r="D1407" s="46" t="n">
        <v>45969</v>
      </c>
      <c r="E1407" s="47" t="s">
        <v>58</v>
      </c>
      <c r="F1407" s="48" t="n">
        <v>160422.14</v>
      </c>
      <c r="G1407" s="47" t="s">
        <v>65</v>
      </c>
      <c r="H1407" s="47" t="s">
        <v>43</v>
      </c>
      <c r="I1407" s="47" t="s">
        <v>117</v>
      </c>
      <c r="J1407" s="47" t="s">
        <v>28</v>
      </c>
      <c r="K1407" s="47" t="s">
        <v>34</v>
      </c>
    </row>
    <row r="1408" customFormat="false" ht="15" hidden="false" customHeight="false" outlineLevel="0" collapsed="false">
      <c r="A1408" s="0" t="s">
        <v>2336</v>
      </c>
      <c r="B1408" s="0" t="s">
        <v>475</v>
      </c>
      <c r="C1408" s="0" t="s">
        <v>476</v>
      </c>
      <c r="D1408" s="46" t="n">
        <v>45785</v>
      </c>
      <c r="E1408" s="47" t="s">
        <v>58</v>
      </c>
      <c r="F1408" s="48" t="n">
        <v>34954.14</v>
      </c>
      <c r="G1408" s="47" t="s">
        <v>53</v>
      </c>
      <c r="H1408" s="47" t="s">
        <v>42</v>
      </c>
      <c r="I1408" s="47" t="s">
        <v>398</v>
      </c>
      <c r="J1408" s="47" t="s">
        <v>30</v>
      </c>
      <c r="K1408" s="47" t="s">
        <v>34</v>
      </c>
    </row>
    <row r="1409" customFormat="false" ht="15" hidden="false" customHeight="false" outlineLevel="0" collapsed="false">
      <c r="A1409" s="0" t="s">
        <v>2337</v>
      </c>
      <c r="B1409" s="0" t="s">
        <v>2338</v>
      </c>
      <c r="D1409" s="46" t="n">
        <v>45693</v>
      </c>
      <c r="E1409" s="47" t="s">
        <v>53</v>
      </c>
      <c r="F1409" s="48" t="n">
        <v>43607.06</v>
      </c>
      <c r="G1409" s="47" t="s">
        <v>66</v>
      </c>
      <c r="H1409" s="47" t="s">
        <v>39</v>
      </c>
      <c r="I1409" s="47" t="s">
        <v>145</v>
      </c>
      <c r="J1409" s="47" t="s">
        <v>28</v>
      </c>
      <c r="K1409" s="47" t="s">
        <v>34</v>
      </c>
    </row>
    <row r="1410" customFormat="false" ht="15" hidden="false" customHeight="false" outlineLevel="0" collapsed="false">
      <c r="A1410" s="0" t="s">
        <v>2339</v>
      </c>
      <c r="B1410" s="0" t="s">
        <v>1534</v>
      </c>
      <c r="C1410" s="0" t="s">
        <v>2340</v>
      </c>
      <c r="D1410" s="46" t="n">
        <v>45880</v>
      </c>
      <c r="E1410" s="47" t="s">
        <v>62</v>
      </c>
      <c r="F1410" s="48" t="n">
        <v>85689.78</v>
      </c>
      <c r="G1410" s="47" t="s">
        <v>53</v>
      </c>
      <c r="H1410" s="47" t="s">
        <v>39</v>
      </c>
      <c r="I1410" s="47" t="s">
        <v>177</v>
      </c>
      <c r="J1410" s="47" t="s">
        <v>28</v>
      </c>
      <c r="K1410" s="47" t="s">
        <v>34</v>
      </c>
    </row>
    <row r="1411" customFormat="false" ht="15" hidden="false" customHeight="false" outlineLevel="0" collapsed="false">
      <c r="A1411" s="0" t="s">
        <v>2341</v>
      </c>
      <c r="B1411" s="0" t="s">
        <v>2153</v>
      </c>
      <c r="D1411" s="46" t="n">
        <v>46267</v>
      </c>
      <c r="E1411" s="47" t="s">
        <v>55</v>
      </c>
      <c r="F1411" s="48" t="n">
        <v>23986.79</v>
      </c>
      <c r="G1411" s="47" t="s">
        <v>68</v>
      </c>
      <c r="H1411" s="47" t="s">
        <v>39</v>
      </c>
      <c r="I1411" s="47" t="s">
        <v>145</v>
      </c>
      <c r="J1411" s="47" t="s">
        <v>28</v>
      </c>
      <c r="K1411" s="47" t="s">
        <v>34</v>
      </c>
    </row>
    <row r="1412" customFormat="false" ht="15" hidden="false" customHeight="false" outlineLevel="0" collapsed="false">
      <c r="A1412" s="0" t="s">
        <v>2342</v>
      </c>
      <c r="B1412" s="0" t="s">
        <v>566</v>
      </c>
      <c r="D1412" s="46" t="n">
        <v>46294</v>
      </c>
      <c r="E1412" s="47" t="s">
        <v>55</v>
      </c>
      <c r="F1412" s="48" t="n">
        <v>107845.75</v>
      </c>
      <c r="G1412" s="47" t="s">
        <v>53</v>
      </c>
      <c r="H1412" s="47" t="s">
        <v>45</v>
      </c>
      <c r="I1412" s="47" t="s">
        <v>151</v>
      </c>
      <c r="J1412" s="47" t="s">
        <v>28</v>
      </c>
      <c r="K1412" s="47" t="s">
        <v>33</v>
      </c>
    </row>
    <row r="1413" customFormat="false" ht="15" hidden="false" customHeight="false" outlineLevel="0" collapsed="false">
      <c r="A1413" s="0" t="s">
        <v>2343</v>
      </c>
      <c r="B1413" s="0" t="s">
        <v>1296</v>
      </c>
      <c r="D1413" s="46" t="n">
        <v>45933</v>
      </c>
      <c r="E1413" s="47" t="s">
        <v>53</v>
      </c>
      <c r="F1413" s="48" t="n">
        <v>17060.84</v>
      </c>
      <c r="G1413" s="47" t="s">
        <v>68</v>
      </c>
      <c r="H1413" s="47" t="s">
        <v>41</v>
      </c>
      <c r="I1413" s="47" t="s">
        <v>86</v>
      </c>
      <c r="J1413" s="47" t="s">
        <v>28</v>
      </c>
      <c r="K1413" s="47" t="s">
        <v>34</v>
      </c>
    </row>
    <row r="1414" customFormat="false" ht="15" hidden="false" customHeight="false" outlineLevel="0" collapsed="false">
      <c r="A1414" s="0" t="s">
        <v>2344</v>
      </c>
      <c r="B1414" s="0" t="s">
        <v>413</v>
      </c>
      <c r="D1414" s="46" t="n">
        <v>46108</v>
      </c>
      <c r="E1414" s="47" t="s">
        <v>60</v>
      </c>
      <c r="F1414" s="48" t="n">
        <v>143324.26</v>
      </c>
      <c r="G1414" s="47" t="s">
        <v>57</v>
      </c>
      <c r="H1414" s="47" t="s">
        <v>47</v>
      </c>
      <c r="I1414" s="47" t="s">
        <v>166</v>
      </c>
      <c r="J1414" s="47" t="s">
        <v>29</v>
      </c>
      <c r="K1414" s="47" t="s">
        <v>34</v>
      </c>
    </row>
    <row r="1415" customFormat="false" ht="15" hidden="false" customHeight="false" outlineLevel="0" collapsed="false">
      <c r="A1415" s="0" t="s">
        <v>2345</v>
      </c>
      <c r="B1415" s="0" t="s">
        <v>2346</v>
      </c>
      <c r="D1415" s="46" t="n">
        <v>46111</v>
      </c>
      <c r="E1415" s="47" t="s">
        <v>62</v>
      </c>
      <c r="F1415" s="48" t="n">
        <v>35459.51</v>
      </c>
      <c r="G1415" s="47" t="s">
        <v>57</v>
      </c>
      <c r="H1415" s="47" t="s">
        <v>45</v>
      </c>
      <c r="I1415" s="47" t="s">
        <v>217</v>
      </c>
      <c r="J1415" s="47" t="s">
        <v>28</v>
      </c>
      <c r="K1415" s="47" t="s">
        <v>33</v>
      </c>
    </row>
    <row r="1416" customFormat="false" ht="15" hidden="false" customHeight="false" outlineLevel="0" collapsed="false">
      <c r="A1416" s="0" t="s">
        <v>2347</v>
      </c>
      <c r="B1416" s="0" t="s">
        <v>1472</v>
      </c>
      <c r="D1416" s="46" t="n">
        <v>46031</v>
      </c>
      <c r="E1416" s="47" t="s">
        <v>59</v>
      </c>
      <c r="F1416" s="48" t="n">
        <v>98999.41</v>
      </c>
      <c r="G1416" s="47" t="s">
        <v>65</v>
      </c>
      <c r="H1416" s="47" t="s">
        <v>44</v>
      </c>
      <c r="I1416" s="47" t="s">
        <v>132</v>
      </c>
      <c r="J1416" s="47" t="s">
        <v>28</v>
      </c>
      <c r="K1416" s="47" t="s">
        <v>33</v>
      </c>
    </row>
    <row r="1417" customFormat="false" ht="15" hidden="false" customHeight="false" outlineLevel="0" collapsed="false">
      <c r="A1417" s="0" t="s">
        <v>2348</v>
      </c>
      <c r="B1417" s="0" t="s">
        <v>408</v>
      </c>
      <c r="C1417" s="0" t="s">
        <v>1727</v>
      </c>
      <c r="D1417" s="46" t="n">
        <v>45658</v>
      </c>
      <c r="E1417" s="47" t="s">
        <v>60</v>
      </c>
      <c r="F1417" s="48" t="n">
        <v>134036.25</v>
      </c>
      <c r="G1417" s="47" t="s">
        <v>68</v>
      </c>
      <c r="H1417" s="47" t="s">
        <v>43</v>
      </c>
      <c r="I1417" s="47" t="s">
        <v>102</v>
      </c>
      <c r="J1417" s="47" t="s">
        <v>28</v>
      </c>
      <c r="K1417" s="47" t="s">
        <v>33</v>
      </c>
    </row>
    <row r="1418" customFormat="false" ht="15" hidden="false" customHeight="false" outlineLevel="0" collapsed="false">
      <c r="A1418" s="0" t="s">
        <v>2349</v>
      </c>
      <c r="B1418" s="0" t="s">
        <v>82</v>
      </c>
      <c r="D1418" s="46" t="n">
        <v>45821</v>
      </c>
      <c r="E1418" s="47" t="s">
        <v>61</v>
      </c>
      <c r="F1418" s="48" t="n">
        <v>125669.51</v>
      </c>
      <c r="G1418" s="47" t="s">
        <v>65</v>
      </c>
      <c r="H1418" s="47" t="s">
        <v>40</v>
      </c>
      <c r="I1418" s="47" t="s">
        <v>83</v>
      </c>
      <c r="J1418" s="47" t="s">
        <v>28</v>
      </c>
      <c r="K1418" s="47" t="s">
        <v>33</v>
      </c>
    </row>
    <row r="1419" customFormat="false" ht="15" hidden="false" customHeight="false" outlineLevel="0" collapsed="false">
      <c r="A1419" s="0" t="s">
        <v>2350</v>
      </c>
      <c r="B1419" s="0" t="s">
        <v>671</v>
      </c>
      <c r="D1419" s="46" t="n">
        <v>46004</v>
      </c>
      <c r="E1419" s="47" t="s">
        <v>55</v>
      </c>
      <c r="F1419" s="48" t="n">
        <v>87813.65</v>
      </c>
      <c r="G1419" s="47" t="s">
        <v>53</v>
      </c>
      <c r="H1419" s="47" t="s">
        <v>45</v>
      </c>
      <c r="I1419" s="47" t="s">
        <v>217</v>
      </c>
      <c r="J1419" s="47" t="s">
        <v>28</v>
      </c>
      <c r="K1419" s="47" t="s">
        <v>33</v>
      </c>
    </row>
    <row r="1420" customFormat="false" ht="15" hidden="false" customHeight="false" outlineLevel="0" collapsed="false">
      <c r="A1420" s="0" t="s">
        <v>2351</v>
      </c>
      <c r="B1420" s="0" t="s">
        <v>1270</v>
      </c>
      <c r="D1420" s="46" t="n">
        <v>46124</v>
      </c>
      <c r="E1420" s="47" t="s">
        <v>59</v>
      </c>
      <c r="F1420" s="48" t="n">
        <v>116143.1</v>
      </c>
      <c r="G1420" s="47" t="s">
        <v>68</v>
      </c>
      <c r="H1420" s="47" t="s">
        <v>44</v>
      </c>
      <c r="I1420" s="47" t="s">
        <v>132</v>
      </c>
      <c r="J1420" s="47" t="s">
        <v>28</v>
      </c>
      <c r="K1420" s="47" t="s">
        <v>34</v>
      </c>
    </row>
    <row r="1421" customFormat="false" ht="15" hidden="false" customHeight="false" outlineLevel="0" collapsed="false">
      <c r="A1421" s="0" t="s">
        <v>2352</v>
      </c>
      <c r="B1421" s="0" t="s">
        <v>131</v>
      </c>
      <c r="C1421" s="0" t="s">
        <v>2353</v>
      </c>
      <c r="D1421" s="46" t="n">
        <v>45890</v>
      </c>
      <c r="E1421" s="47" t="s">
        <v>53</v>
      </c>
      <c r="F1421" s="48" t="n">
        <v>187514.47</v>
      </c>
      <c r="G1421" s="47" t="s">
        <v>66</v>
      </c>
      <c r="H1421" s="47" t="s">
        <v>44</v>
      </c>
      <c r="I1421" s="47" t="s">
        <v>132</v>
      </c>
      <c r="J1421" s="47" t="s">
        <v>28</v>
      </c>
      <c r="K1421" s="47" t="s">
        <v>34</v>
      </c>
    </row>
    <row r="1422" customFormat="false" ht="15" hidden="false" customHeight="false" outlineLevel="0" collapsed="false">
      <c r="A1422" s="0" t="s">
        <v>2354</v>
      </c>
      <c r="B1422" s="0" t="s">
        <v>1833</v>
      </c>
      <c r="D1422" s="46" t="n">
        <v>45916</v>
      </c>
      <c r="E1422" s="47" t="s">
        <v>61</v>
      </c>
      <c r="F1422" s="48" t="n">
        <v>191213.62</v>
      </c>
      <c r="G1422" s="47" t="s">
        <v>65</v>
      </c>
      <c r="H1422" s="47" t="s">
        <v>42</v>
      </c>
      <c r="I1422" s="47" t="s">
        <v>105</v>
      </c>
      <c r="J1422" s="47" t="s">
        <v>28</v>
      </c>
      <c r="K1422" s="47" t="s">
        <v>34</v>
      </c>
    </row>
    <row r="1423" customFormat="false" ht="15" hidden="false" customHeight="false" outlineLevel="0" collapsed="false">
      <c r="A1423" s="0" t="s">
        <v>2355</v>
      </c>
      <c r="B1423" s="0" t="s">
        <v>2356</v>
      </c>
      <c r="D1423" s="46" t="n">
        <v>45777</v>
      </c>
      <c r="E1423" s="47" t="s">
        <v>53</v>
      </c>
      <c r="F1423" s="48" t="n">
        <v>126242.62</v>
      </c>
      <c r="G1423" s="47" t="s">
        <v>66</v>
      </c>
      <c r="H1423" s="47" t="s">
        <v>41</v>
      </c>
      <c r="I1423" s="47" t="s">
        <v>293</v>
      </c>
      <c r="J1423" s="47" t="s">
        <v>28</v>
      </c>
      <c r="K1423" s="47" t="s">
        <v>34</v>
      </c>
    </row>
    <row r="1424" customFormat="false" ht="15" hidden="false" customHeight="false" outlineLevel="0" collapsed="false">
      <c r="A1424" s="0" t="s">
        <v>2357</v>
      </c>
      <c r="B1424" s="0" t="s">
        <v>228</v>
      </c>
      <c r="D1424" s="46" t="n">
        <v>46255</v>
      </c>
      <c r="E1424" s="47" t="s">
        <v>59</v>
      </c>
      <c r="F1424" s="48" t="n">
        <v>73778.15</v>
      </c>
      <c r="G1424" s="47" t="s">
        <v>66</v>
      </c>
      <c r="H1424" s="47" t="s">
        <v>46</v>
      </c>
      <c r="I1424" s="47" t="s">
        <v>121</v>
      </c>
      <c r="J1424" s="47" t="s">
        <v>28</v>
      </c>
      <c r="K1424" s="47" t="s">
        <v>34</v>
      </c>
    </row>
    <row r="1425" customFormat="false" ht="15" hidden="false" customHeight="false" outlineLevel="0" collapsed="false">
      <c r="A1425" s="0" t="s">
        <v>2358</v>
      </c>
      <c r="B1425" s="0" t="s">
        <v>1495</v>
      </c>
      <c r="D1425" s="46" t="n">
        <v>46124</v>
      </c>
      <c r="E1425" s="47" t="s">
        <v>55</v>
      </c>
      <c r="F1425" s="48" t="n">
        <v>31427.45</v>
      </c>
      <c r="G1425" s="47" t="s">
        <v>57</v>
      </c>
      <c r="H1425" s="47" t="s">
        <v>42</v>
      </c>
      <c r="I1425" s="47" t="s">
        <v>105</v>
      </c>
      <c r="J1425" s="47" t="s">
        <v>28</v>
      </c>
      <c r="K1425" s="47" t="s">
        <v>34</v>
      </c>
    </row>
    <row r="1426" customFormat="false" ht="15" hidden="false" customHeight="false" outlineLevel="0" collapsed="false">
      <c r="A1426" s="0" t="s">
        <v>2359</v>
      </c>
      <c r="B1426" s="0" t="s">
        <v>435</v>
      </c>
      <c r="D1426" s="46" t="n">
        <v>46101</v>
      </c>
      <c r="E1426" s="47" t="s">
        <v>62</v>
      </c>
      <c r="F1426" s="48" t="n">
        <v>156051.71</v>
      </c>
      <c r="G1426" s="47" t="s">
        <v>57</v>
      </c>
      <c r="H1426" s="47" t="s">
        <v>48</v>
      </c>
      <c r="I1426" s="47" t="s">
        <v>114</v>
      </c>
      <c r="J1426" s="47" t="s">
        <v>28</v>
      </c>
      <c r="K1426" s="47" t="s">
        <v>33</v>
      </c>
    </row>
    <row r="1427" customFormat="false" ht="15" hidden="false" customHeight="false" outlineLevel="0" collapsed="false">
      <c r="A1427" s="0" t="s">
        <v>2360</v>
      </c>
      <c r="B1427" s="0" t="s">
        <v>913</v>
      </c>
      <c r="D1427" s="46" t="n">
        <v>45968</v>
      </c>
      <c r="E1427" s="47" t="s">
        <v>60</v>
      </c>
      <c r="F1427" s="48" t="n">
        <v>41471.5</v>
      </c>
      <c r="G1427" s="47" t="s">
        <v>53</v>
      </c>
      <c r="H1427" s="47" t="s">
        <v>48</v>
      </c>
      <c r="I1427" s="47" t="s">
        <v>114</v>
      </c>
      <c r="J1427" s="47" t="s">
        <v>28</v>
      </c>
      <c r="K1427" s="47" t="s">
        <v>33</v>
      </c>
    </row>
    <row r="1428" customFormat="false" ht="15" hidden="false" customHeight="false" outlineLevel="0" collapsed="false">
      <c r="A1428" s="0" t="s">
        <v>2361</v>
      </c>
      <c r="B1428" s="0" t="s">
        <v>561</v>
      </c>
      <c r="D1428" s="46" t="n">
        <v>45686</v>
      </c>
      <c r="E1428" s="47" t="s">
        <v>53</v>
      </c>
      <c r="F1428" s="48" t="n">
        <v>90001.97</v>
      </c>
      <c r="G1428" s="47" t="s">
        <v>66</v>
      </c>
      <c r="H1428" s="47" t="s">
        <v>43</v>
      </c>
      <c r="I1428" s="47" t="s">
        <v>201</v>
      </c>
      <c r="J1428" s="47" t="s">
        <v>28</v>
      </c>
      <c r="K1428" s="47" t="s">
        <v>33</v>
      </c>
    </row>
    <row r="1429" customFormat="false" ht="15" hidden="false" customHeight="false" outlineLevel="0" collapsed="false">
      <c r="A1429" s="0" t="s">
        <v>2362</v>
      </c>
      <c r="B1429" s="0" t="s">
        <v>2363</v>
      </c>
      <c r="D1429" s="46" t="n">
        <v>45714</v>
      </c>
      <c r="E1429" s="47" t="s">
        <v>55</v>
      </c>
      <c r="F1429" s="48" t="n">
        <v>141896.67</v>
      </c>
      <c r="G1429" s="47" t="s">
        <v>57</v>
      </c>
      <c r="H1429" s="47" t="s">
        <v>40</v>
      </c>
      <c r="I1429" s="47" t="s">
        <v>89</v>
      </c>
      <c r="J1429" s="47" t="s">
        <v>28</v>
      </c>
      <c r="K1429" s="47" t="s">
        <v>33</v>
      </c>
    </row>
    <row r="1430" customFormat="false" ht="15" hidden="false" customHeight="false" outlineLevel="0" collapsed="false">
      <c r="A1430" s="0" t="s">
        <v>2364</v>
      </c>
      <c r="B1430" s="0" t="s">
        <v>1408</v>
      </c>
      <c r="D1430" s="46" t="n">
        <v>45926</v>
      </c>
      <c r="E1430" s="47" t="s">
        <v>55</v>
      </c>
      <c r="F1430" s="48" t="n">
        <v>43591.33</v>
      </c>
      <c r="G1430" s="47" t="s">
        <v>57</v>
      </c>
      <c r="H1430" s="47" t="s">
        <v>46</v>
      </c>
      <c r="I1430" s="47" t="s">
        <v>242</v>
      </c>
      <c r="J1430" s="47" t="s">
        <v>28</v>
      </c>
      <c r="K1430" s="47" t="s">
        <v>34</v>
      </c>
    </row>
    <row r="1431" customFormat="false" ht="15" hidden="false" customHeight="false" outlineLevel="0" collapsed="false">
      <c r="A1431" s="0" t="s">
        <v>2365</v>
      </c>
      <c r="B1431" s="0" t="s">
        <v>2237</v>
      </c>
      <c r="D1431" s="46" t="n">
        <v>46227</v>
      </c>
      <c r="E1431" s="47" t="s">
        <v>61</v>
      </c>
      <c r="F1431" s="48" t="n">
        <v>154288.24</v>
      </c>
      <c r="G1431" s="47" t="s">
        <v>65</v>
      </c>
      <c r="H1431" s="47" t="s">
        <v>39</v>
      </c>
      <c r="I1431" s="47" t="s">
        <v>98</v>
      </c>
      <c r="J1431" s="47" t="s">
        <v>28</v>
      </c>
      <c r="K1431" s="47" t="s">
        <v>34</v>
      </c>
    </row>
    <row r="1432" customFormat="false" ht="15" hidden="false" customHeight="false" outlineLevel="0" collapsed="false">
      <c r="A1432" s="0" t="s">
        <v>2366</v>
      </c>
      <c r="B1432" s="0" t="s">
        <v>235</v>
      </c>
      <c r="D1432" s="46" t="n">
        <v>46247</v>
      </c>
      <c r="E1432" s="47" t="s">
        <v>62</v>
      </c>
      <c r="F1432" s="48" t="n">
        <v>38151.14</v>
      </c>
      <c r="G1432" s="47" t="s">
        <v>68</v>
      </c>
      <c r="H1432" s="47" t="s">
        <v>47</v>
      </c>
      <c r="I1432" s="47" t="s">
        <v>108</v>
      </c>
      <c r="J1432" s="47" t="s">
        <v>28</v>
      </c>
      <c r="K1432" s="47" t="s">
        <v>33</v>
      </c>
    </row>
    <row r="1433" customFormat="false" ht="15" hidden="false" customHeight="false" outlineLevel="0" collapsed="false">
      <c r="A1433" s="0" t="s">
        <v>2367</v>
      </c>
      <c r="B1433" s="0" t="s">
        <v>2368</v>
      </c>
      <c r="D1433" s="46" t="n">
        <v>45843</v>
      </c>
      <c r="E1433" s="47" t="s">
        <v>61</v>
      </c>
      <c r="F1433" s="48" t="n">
        <v>110791.48</v>
      </c>
      <c r="G1433" s="47" t="s">
        <v>68</v>
      </c>
      <c r="H1433" s="47" t="s">
        <v>44</v>
      </c>
      <c r="I1433" s="47" t="s">
        <v>226</v>
      </c>
      <c r="J1433" s="47" t="s">
        <v>29</v>
      </c>
      <c r="K1433" s="47" t="s">
        <v>34</v>
      </c>
    </row>
    <row r="1434" customFormat="false" ht="15" hidden="false" customHeight="false" outlineLevel="0" collapsed="false">
      <c r="A1434" s="0" t="s">
        <v>2369</v>
      </c>
      <c r="B1434" s="0" t="s">
        <v>855</v>
      </c>
      <c r="D1434" s="46" t="n">
        <v>45951</v>
      </c>
      <c r="E1434" s="47" t="s">
        <v>59</v>
      </c>
      <c r="F1434" s="48" t="n">
        <v>76772.67</v>
      </c>
      <c r="G1434" s="47" t="s">
        <v>53</v>
      </c>
      <c r="H1434" s="47" t="s">
        <v>41</v>
      </c>
      <c r="I1434" s="47" t="s">
        <v>86</v>
      </c>
      <c r="J1434" s="47" t="s">
        <v>28</v>
      </c>
      <c r="K1434" s="47" t="s">
        <v>33</v>
      </c>
    </row>
    <row r="1435" customFormat="false" ht="15" hidden="false" customHeight="false" outlineLevel="0" collapsed="false">
      <c r="A1435" s="0" t="s">
        <v>2370</v>
      </c>
      <c r="B1435" s="0" t="s">
        <v>749</v>
      </c>
      <c r="C1435" s="0" t="s">
        <v>2371</v>
      </c>
      <c r="D1435" s="46" t="n">
        <v>46188</v>
      </c>
      <c r="E1435" s="47" t="s">
        <v>53</v>
      </c>
      <c r="F1435" s="48" t="n">
        <v>111358.75</v>
      </c>
      <c r="G1435" s="47" t="s">
        <v>53</v>
      </c>
      <c r="H1435" s="47" t="s">
        <v>47</v>
      </c>
      <c r="I1435" s="47" t="s">
        <v>166</v>
      </c>
      <c r="J1435" s="47" t="s">
        <v>28</v>
      </c>
      <c r="K1435" s="47" t="s">
        <v>33</v>
      </c>
    </row>
    <row r="1436" customFormat="false" ht="15" hidden="false" customHeight="false" outlineLevel="0" collapsed="false">
      <c r="A1436" s="0" t="s">
        <v>2372</v>
      </c>
      <c r="B1436" s="0" t="s">
        <v>2373</v>
      </c>
      <c r="D1436" s="46" t="n">
        <v>46050</v>
      </c>
      <c r="E1436" s="47" t="s">
        <v>55</v>
      </c>
      <c r="F1436" s="48" t="n">
        <v>52954.38</v>
      </c>
      <c r="G1436" s="47" t="s">
        <v>53</v>
      </c>
      <c r="H1436" s="47" t="s">
        <v>47</v>
      </c>
      <c r="I1436" s="47" t="s">
        <v>108</v>
      </c>
      <c r="J1436" s="47" t="s">
        <v>28</v>
      </c>
      <c r="K1436" s="47" t="s">
        <v>34</v>
      </c>
    </row>
    <row r="1437" customFormat="false" ht="15" hidden="false" customHeight="false" outlineLevel="0" collapsed="false">
      <c r="A1437" s="0" t="s">
        <v>2374</v>
      </c>
      <c r="B1437" s="0" t="s">
        <v>868</v>
      </c>
      <c r="D1437" s="46" t="n">
        <v>46096</v>
      </c>
      <c r="E1437" s="47" t="s">
        <v>55</v>
      </c>
      <c r="F1437" s="48" t="n">
        <v>42993.24</v>
      </c>
      <c r="G1437" s="47" t="s">
        <v>65</v>
      </c>
      <c r="H1437" s="47" t="s">
        <v>46</v>
      </c>
      <c r="I1437" s="47" t="s">
        <v>121</v>
      </c>
      <c r="J1437" s="47" t="s">
        <v>28</v>
      </c>
      <c r="K1437" s="47" t="s">
        <v>34</v>
      </c>
    </row>
    <row r="1438" customFormat="false" ht="15" hidden="false" customHeight="false" outlineLevel="0" collapsed="false">
      <c r="A1438" s="0" t="s">
        <v>2375</v>
      </c>
      <c r="B1438" s="0" t="s">
        <v>536</v>
      </c>
      <c r="D1438" s="46" t="n">
        <v>46203</v>
      </c>
      <c r="E1438" s="47" t="s">
        <v>61</v>
      </c>
      <c r="F1438" s="48" t="n">
        <v>113474.98</v>
      </c>
      <c r="G1438" s="47" t="s">
        <v>53</v>
      </c>
      <c r="H1438" s="47" t="s">
        <v>39</v>
      </c>
      <c r="I1438" s="47" t="s">
        <v>177</v>
      </c>
      <c r="J1438" s="47" t="s">
        <v>28</v>
      </c>
      <c r="K1438" s="47" t="s">
        <v>33</v>
      </c>
    </row>
    <row r="1439" customFormat="false" ht="15" hidden="false" customHeight="false" outlineLevel="0" collapsed="false">
      <c r="A1439" s="0" t="s">
        <v>2376</v>
      </c>
      <c r="B1439" s="0" t="s">
        <v>88</v>
      </c>
      <c r="D1439" s="46" t="n">
        <v>45903</v>
      </c>
      <c r="E1439" s="47" t="s">
        <v>62</v>
      </c>
      <c r="F1439" s="48" t="n">
        <v>123264.93</v>
      </c>
      <c r="G1439" s="47" t="s">
        <v>68</v>
      </c>
      <c r="H1439" s="47" t="s">
        <v>40</v>
      </c>
      <c r="I1439" s="47" t="s">
        <v>89</v>
      </c>
      <c r="J1439" s="47" t="s">
        <v>28</v>
      </c>
      <c r="K1439" s="47" t="s">
        <v>34</v>
      </c>
    </row>
    <row r="1440" customFormat="false" ht="15" hidden="false" customHeight="false" outlineLevel="0" collapsed="false">
      <c r="A1440" s="0" t="s">
        <v>2377</v>
      </c>
      <c r="B1440" s="0" t="s">
        <v>1236</v>
      </c>
      <c r="D1440" s="46" t="n">
        <v>46284</v>
      </c>
      <c r="E1440" s="47" t="s">
        <v>58</v>
      </c>
      <c r="F1440" s="48" t="n">
        <v>163821.58</v>
      </c>
      <c r="G1440" s="47" t="s">
        <v>68</v>
      </c>
      <c r="H1440" s="47" t="s">
        <v>43</v>
      </c>
      <c r="I1440" s="47" t="s">
        <v>201</v>
      </c>
      <c r="J1440" s="47" t="s">
        <v>28</v>
      </c>
      <c r="K1440" s="47" t="s">
        <v>34</v>
      </c>
    </row>
    <row r="1441" customFormat="false" ht="15" hidden="false" customHeight="false" outlineLevel="0" collapsed="false">
      <c r="A1441" s="0" t="s">
        <v>2378</v>
      </c>
      <c r="B1441" s="0" t="s">
        <v>2379</v>
      </c>
      <c r="C1441" s="0" t="s">
        <v>2380</v>
      </c>
      <c r="D1441" s="46" t="n">
        <v>45818</v>
      </c>
      <c r="E1441" s="47" t="s">
        <v>53</v>
      </c>
      <c r="F1441" s="48" t="n">
        <v>53576.92</v>
      </c>
      <c r="G1441" s="47" t="s">
        <v>57</v>
      </c>
      <c r="H1441" s="47" t="s">
        <v>41</v>
      </c>
      <c r="I1441" s="47" t="s">
        <v>86</v>
      </c>
      <c r="J1441" s="47" t="s">
        <v>28</v>
      </c>
      <c r="K1441" s="47" t="s">
        <v>34</v>
      </c>
    </row>
    <row r="1442" customFormat="false" ht="15" hidden="false" customHeight="false" outlineLevel="0" collapsed="false">
      <c r="A1442" s="0" t="s">
        <v>2381</v>
      </c>
      <c r="B1442" s="0" t="s">
        <v>335</v>
      </c>
      <c r="D1442" s="46" t="n">
        <v>45920</v>
      </c>
      <c r="E1442" s="47" t="s">
        <v>62</v>
      </c>
      <c r="F1442" s="48" t="n">
        <v>62460.21</v>
      </c>
      <c r="G1442" s="47" t="s">
        <v>57</v>
      </c>
      <c r="H1442" s="47" t="s">
        <v>39</v>
      </c>
      <c r="I1442" s="47" t="s">
        <v>177</v>
      </c>
      <c r="J1442" s="47" t="s">
        <v>28</v>
      </c>
      <c r="K1442" s="47" t="s">
        <v>33</v>
      </c>
    </row>
    <row r="1443" customFormat="false" ht="15" hidden="false" customHeight="false" outlineLevel="0" collapsed="false">
      <c r="A1443" s="0" t="s">
        <v>2382</v>
      </c>
      <c r="B1443" s="0" t="s">
        <v>366</v>
      </c>
      <c r="D1443" s="46" t="n">
        <v>45743</v>
      </c>
      <c r="E1443" s="47" t="s">
        <v>53</v>
      </c>
      <c r="F1443" s="48" t="n">
        <v>65724.72</v>
      </c>
      <c r="G1443" s="47" t="s">
        <v>68</v>
      </c>
      <c r="H1443" s="47" t="s">
        <v>48</v>
      </c>
      <c r="I1443" s="47" t="s">
        <v>114</v>
      </c>
      <c r="J1443" s="47" t="s">
        <v>28</v>
      </c>
      <c r="K1443" s="47" t="s">
        <v>34</v>
      </c>
    </row>
    <row r="1444" customFormat="false" ht="15" hidden="false" customHeight="false" outlineLevel="0" collapsed="false">
      <c r="A1444" s="0" t="s">
        <v>2383</v>
      </c>
      <c r="B1444" s="0" t="s">
        <v>1880</v>
      </c>
      <c r="D1444" s="46" t="n">
        <v>46267</v>
      </c>
      <c r="E1444" s="47" t="s">
        <v>55</v>
      </c>
      <c r="F1444" s="48" t="n">
        <v>72986.9</v>
      </c>
      <c r="G1444" s="47" t="s">
        <v>65</v>
      </c>
      <c r="H1444" s="47" t="s">
        <v>43</v>
      </c>
      <c r="I1444" s="47" t="s">
        <v>102</v>
      </c>
      <c r="J1444" s="47" t="s">
        <v>28</v>
      </c>
      <c r="K1444" s="47" t="s">
        <v>34</v>
      </c>
    </row>
    <row r="1445" customFormat="false" ht="15" hidden="false" customHeight="false" outlineLevel="0" collapsed="false">
      <c r="A1445" s="0" t="s">
        <v>2384</v>
      </c>
      <c r="B1445" s="0" t="s">
        <v>894</v>
      </c>
      <c r="D1445" s="46" t="n">
        <v>45719</v>
      </c>
      <c r="E1445" s="47" t="s">
        <v>59</v>
      </c>
      <c r="F1445" s="48" t="n">
        <v>92859.73</v>
      </c>
      <c r="G1445" s="47" t="s">
        <v>57</v>
      </c>
      <c r="H1445" s="47" t="s">
        <v>45</v>
      </c>
      <c r="I1445" s="47" t="s">
        <v>217</v>
      </c>
      <c r="J1445" s="47" t="s">
        <v>28</v>
      </c>
      <c r="K1445" s="47" t="s">
        <v>34</v>
      </c>
    </row>
    <row r="1446" customFormat="false" ht="15" hidden="false" customHeight="false" outlineLevel="0" collapsed="false">
      <c r="A1446" s="0" t="s">
        <v>2385</v>
      </c>
      <c r="B1446" s="0" t="s">
        <v>2302</v>
      </c>
      <c r="D1446" s="46" t="n">
        <v>45757</v>
      </c>
      <c r="E1446" s="47" t="s">
        <v>60</v>
      </c>
      <c r="F1446" s="48" t="n">
        <v>100729.91</v>
      </c>
      <c r="G1446" s="47" t="s">
        <v>65</v>
      </c>
      <c r="H1446" s="47" t="s">
        <v>40</v>
      </c>
      <c r="I1446" s="47" t="s">
        <v>89</v>
      </c>
      <c r="J1446" s="47" t="s">
        <v>28</v>
      </c>
      <c r="K1446" s="47" t="s">
        <v>34</v>
      </c>
    </row>
    <row r="1447" customFormat="false" ht="15" hidden="false" customHeight="false" outlineLevel="0" collapsed="false">
      <c r="A1447" s="0" t="s">
        <v>2386</v>
      </c>
      <c r="B1447" s="0" t="s">
        <v>267</v>
      </c>
      <c r="D1447" s="46" t="n">
        <v>46148</v>
      </c>
      <c r="E1447" s="47" t="s">
        <v>59</v>
      </c>
      <c r="F1447" s="48" t="n">
        <v>128505.23</v>
      </c>
      <c r="G1447" s="47" t="s">
        <v>65</v>
      </c>
      <c r="H1447" s="47" t="s">
        <v>46</v>
      </c>
      <c r="I1447" s="47" t="s">
        <v>242</v>
      </c>
      <c r="J1447" s="47" t="s">
        <v>28</v>
      </c>
      <c r="K1447" s="47" t="s">
        <v>34</v>
      </c>
    </row>
    <row r="1448" customFormat="false" ht="15" hidden="false" customHeight="false" outlineLevel="0" collapsed="false">
      <c r="A1448" s="0" t="s">
        <v>2387</v>
      </c>
      <c r="B1448" s="0" t="s">
        <v>2388</v>
      </c>
      <c r="D1448" s="46" t="n">
        <v>45893</v>
      </c>
      <c r="E1448" s="47" t="s">
        <v>62</v>
      </c>
      <c r="F1448" s="48" t="n">
        <v>37755.01</v>
      </c>
      <c r="G1448" s="47" t="s">
        <v>57</v>
      </c>
      <c r="H1448" s="47" t="s">
        <v>43</v>
      </c>
      <c r="I1448" s="47" t="s">
        <v>102</v>
      </c>
      <c r="J1448" s="47" t="s">
        <v>28</v>
      </c>
      <c r="K1448" s="47" t="s">
        <v>33</v>
      </c>
    </row>
    <row r="1449" customFormat="false" ht="15" hidden="false" customHeight="false" outlineLevel="0" collapsed="false">
      <c r="A1449" s="0" t="s">
        <v>2389</v>
      </c>
      <c r="B1449" s="0" t="s">
        <v>1379</v>
      </c>
      <c r="D1449" s="46" t="n">
        <v>46135</v>
      </c>
      <c r="E1449" s="47" t="s">
        <v>62</v>
      </c>
      <c r="F1449" s="48" t="n">
        <v>40737.29</v>
      </c>
      <c r="G1449" s="47" t="s">
        <v>65</v>
      </c>
      <c r="H1449" s="47" t="s">
        <v>48</v>
      </c>
      <c r="I1449" s="47" t="s">
        <v>212</v>
      </c>
      <c r="J1449" s="47" t="s">
        <v>28</v>
      </c>
      <c r="K1449" s="47" t="s">
        <v>33</v>
      </c>
    </row>
    <row r="1450" customFormat="false" ht="15" hidden="false" customHeight="false" outlineLevel="0" collapsed="false">
      <c r="A1450" s="0" t="s">
        <v>2390</v>
      </c>
      <c r="B1450" s="0" t="s">
        <v>1246</v>
      </c>
      <c r="D1450" s="46" t="n">
        <v>45837</v>
      </c>
      <c r="E1450" s="47" t="s">
        <v>62</v>
      </c>
      <c r="F1450" s="48" t="n">
        <v>4464.05</v>
      </c>
      <c r="G1450" s="47" t="s">
        <v>53</v>
      </c>
      <c r="H1450" s="47" t="s">
        <v>47</v>
      </c>
      <c r="I1450" s="47" t="s">
        <v>245</v>
      </c>
      <c r="J1450" s="47" t="s">
        <v>28</v>
      </c>
      <c r="K1450" s="47" t="s">
        <v>33</v>
      </c>
    </row>
    <row r="1451" customFormat="false" ht="15" hidden="false" customHeight="false" outlineLevel="0" collapsed="false">
      <c r="A1451" s="0" t="s">
        <v>2391</v>
      </c>
      <c r="B1451" s="0" t="s">
        <v>1628</v>
      </c>
      <c r="D1451" s="46" t="n">
        <v>45715</v>
      </c>
      <c r="E1451" s="47" t="s">
        <v>53</v>
      </c>
      <c r="F1451" s="48" t="n">
        <v>63345.94</v>
      </c>
      <c r="G1451" s="47" t="s">
        <v>53</v>
      </c>
      <c r="H1451" s="47" t="s">
        <v>45</v>
      </c>
      <c r="I1451" s="47" t="s">
        <v>217</v>
      </c>
      <c r="J1451" s="47" t="s">
        <v>29</v>
      </c>
      <c r="K1451" s="47" t="s">
        <v>33</v>
      </c>
    </row>
    <row r="1452" customFormat="false" ht="15" hidden="false" customHeight="false" outlineLevel="0" collapsed="false">
      <c r="A1452" s="0" t="s">
        <v>2392</v>
      </c>
      <c r="B1452" s="0" t="s">
        <v>1072</v>
      </c>
      <c r="D1452" s="46" t="n">
        <v>46190</v>
      </c>
      <c r="E1452" s="47" t="s">
        <v>60</v>
      </c>
      <c r="F1452" s="48" t="n">
        <v>51977.41</v>
      </c>
      <c r="G1452" s="47" t="s">
        <v>57</v>
      </c>
      <c r="H1452" s="47" t="s">
        <v>45</v>
      </c>
      <c r="I1452" s="47" t="s">
        <v>217</v>
      </c>
      <c r="J1452" s="47" t="s">
        <v>28</v>
      </c>
      <c r="K1452" s="47" t="s">
        <v>33</v>
      </c>
    </row>
    <row r="1453" customFormat="false" ht="15" hidden="false" customHeight="false" outlineLevel="0" collapsed="false">
      <c r="A1453" s="0" t="s">
        <v>2393</v>
      </c>
      <c r="B1453" s="0" t="s">
        <v>1226</v>
      </c>
      <c r="D1453" s="46" t="n">
        <v>45893</v>
      </c>
      <c r="E1453" s="47" t="s">
        <v>55</v>
      </c>
      <c r="F1453" s="48" t="n">
        <v>29344.69</v>
      </c>
      <c r="G1453" s="47" t="s">
        <v>68</v>
      </c>
      <c r="H1453" s="47" t="s">
        <v>43</v>
      </c>
      <c r="I1453" s="47" t="s">
        <v>117</v>
      </c>
      <c r="J1453" s="47" t="s">
        <v>29</v>
      </c>
      <c r="K1453" s="47" t="s">
        <v>33</v>
      </c>
    </row>
    <row r="1454" customFormat="false" ht="15" hidden="false" customHeight="false" outlineLevel="0" collapsed="false">
      <c r="A1454" s="0" t="s">
        <v>2394</v>
      </c>
      <c r="B1454" s="0" t="s">
        <v>690</v>
      </c>
      <c r="D1454" s="46" t="n">
        <v>46150</v>
      </c>
      <c r="E1454" s="47" t="s">
        <v>60</v>
      </c>
      <c r="F1454" s="48" t="n">
        <v>94256.03</v>
      </c>
      <c r="G1454" s="47" t="s">
        <v>66</v>
      </c>
      <c r="H1454" s="47" t="s">
        <v>43</v>
      </c>
      <c r="I1454" s="47" t="s">
        <v>201</v>
      </c>
      <c r="J1454" s="47" t="s">
        <v>28</v>
      </c>
      <c r="K1454" s="47" t="s">
        <v>34</v>
      </c>
    </row>
    <row r="1455" customFormat="false" ht="15" hidden="false" customHeight="false" outlineLevel="0" collapsed="false">
      <c r="A1455" s="0" t="s">
        <v>2395</v>
      </c>
      <c r="B1455" s="0" t="s">
        <v>2272</v>
      </c>
      <c r="D1455" s="46" t="n">
        <v>45751</v>
      </c>
      <c r="E1455" s="47" t="s">
        <v>60</v>
      </c>
      <c r="F1455" s="48" t="n">
        <v>57775.06</v>
      </c>
      <c r="G1455" s="47" t="s">
        <v>53</v>
      </c>
      <c r="H1455" s="47" t="s">
        <v>40</v>
      </c>
      <c r="I1455" s="47" t="s">
        <v>83</v>
      </c>
      <c r="J1455" s="47" t="s">
        <v>28</v>
      </c>
      <c r="K1455" s="47" t="s">
        <v>33</v>
      </c>
    </row>
    <row r="1456" customFormat="false" ht="15" hidden="false" customHeight="false" outlineLevel="0" collapsed="false">
      <c r="A1456" s="0" t="s">
        <v>2396</v>
      </c>
      <c r="B1456" s="0" t="s">
        <v>1112</v>
      </c>
      <c r="D1456" s="46" t="n">
        <v>46229</v>
      </c>
      <c r="E1456" s="47" t="s">
        <v>59</v>
      </c>
      <c r="F1456" s="48" t="n">
        <v>110810.26</v>
      </c>
      <c r="G1456" s="47" t="s">
        <v>68</v>
      </c>
      <c r="H1456" s="47" t="s">
        <v>39</v>
      </c>
      <c r="I1456" s="47" t="s">
        <v>177</v>
      </c>
      <c r="J1456" s="47" t="s">
        <v>28</v>
      </c>
      <c r="K1456" s="47" t="s">
        <v>34</v>
      </c>
    </row>
    <row r="1457" customFormat="false" ht="15" hidden="false" customHeight="false" outlineLevel="0" collapsed="false">
      <c r="A1457" s="0" t="s">
        <v>2397</v>
      </c>
      <c r="B1457" s="0" t="s">
        <v>326</v>
      </c>
      <c r="C1457" s="0" t="s">
        <v>2398</v>
      </c>
      <c r="D1457" s="46" t="n">
        <v>45785</v>
      </c>
      <c r="E1457" s="47" t="s">
        <v>58</v>
      </c>
      <c r="F1457" s="48" t="n">
        <v>136406.55</v>
      </c>
      <c r="G1457" s="47" t="s">
        <v>66</v>
      </c>
      <c r="H1457" s="47" t="s">
        <v>42</v>
      </c>
      <c r="I1457" s="47" t="s">
        <v>137</v>
      </c>
      <c r="J1457" s="47" t="s">
        <v>28</v>
      </c>
      <c r="K1457" s="47" t="s">
        <v>34</v>
      </c>
    </row>
    <row r="1458" customFormat="false" ht="15" hidden="false" customHeight="false" outlineLevel="0" collapsed="false">
      <c r="A1458" s="0" t="s">
        <v>2399</v>
      </c>
      <c r="B1458" s="0" t="s">
        <v>531</v>
      </c>
      <c r="D1458" s="46" t="n">
        <v>46206</v>
      </c>
      <c r="E1458" s="47" t="s">
        <v>59</v>
      </c>
      <c r="F1458" s="48" t="n">
        <v>186140.98</v>
      </c>
      <c r="G1458" s="47" t="s">
        <v>53</v>
      </c>
      <c r="H1458" s="47" t="s">
        <v>41</v>
      </c>
      <c r="I1458" s="47" t="s">
        <v>86</v>
      </c>
      <c r="J1458" s="47" t="s">
        <v>28</v>
      </c>
      <c r="K1458" s="47" t="s">
        <v>34</v>
      </c>
    </row>
    <row r="1459" customFormat="false" ht="15" hidden="false" customHeight="false" outlineLevel="0" collapsed="false">
      <c r="A1459" s="0" t="s">
        <v>2400</v>
      </c>
      <c r="B1459" s="0" t="s">
        <v>1446</v>
      </c>
      <c r="C1459" s="0" t="s">
        <v>2401</v>
      </c>
      <c r="D1459" s="46" t="n">
        <v>45955</v>
      </c>
      <c r="E1459" s="47" t="s">
        <v>55</v>
      </c>
      <c r="F1459" s="48" t="n">
        <v>108326.43</v>
      </c>
      <c r="G1459" s="47" t="s">
        <v>66</v>
      </c>
      <c r="H1459" s="47" t="s">
        <v>46</v>
      </c>
      <c r="I1459" s="47" t="s">
        <v>121</v>
      </c>
      <c r="J1459" s="47" t="s">
        <v>28</v>
      </c>
      <c r="K1459" s="47" t="s">
        <v>34</v>
      </c>
    </row>
    <row r="1460" customFormat="false" ht="15" hidden="false" customHeight="false" outlineLevel="0" collapsed="false">
      <c r="A1460" s="0" t="s">
        <v>2402</v>
      </c>
      <c r="B1460" s="0" t="s">
        <v>1769</v>
      </c>
      <c r="C1460" s="0" t="s">
        <v>2403</v>
      </c>
      <c r="D1460" s="46" t="n">
        <v>45674</v>
      </c>
      <c r="E1460" s="47" t="s">
        <v>58</v>
      </c>
      <c r="F1460" s="48" t="n">
        <v>40901.97</v>
      </c>
      <c r="G1460" s="47" t="s">
        <v>66</v>
      </c>
      <c r="H1460" s="47" t="s">
        <v>40</v>
      </c>
      <c r="I1460" s="47" t="s">
        <v>89</v>
      </c>
      <c r="J1460" s="47" t="s">
        <v>28</v>
      </c>
      <c r="K1460" s="47" t="s">
        <v>33</v>
      </c>
    </row>
    <row r="1461" customFormat="false" ht="15" hidden="false" customHeight="false" outlineLevel="0" collapsed="false">
      <c r="A1461" s="0" t="s">
        <v>2404</v>
      </c>
      <c r="B1461" s="0" t="s">
        <v>718</v>
      </c>
      <c r="D1461" s="46" t="n">
        <v>45911</v>
      </c>
      <c r="E1461" s="47" t="s">
        <v>53</v>
      </c>
      <c r="F1461" s="48" t="n">
        <v>78219.09</v>
      </c>
      <c r="G1461" s="47" t="s">
        <v>65</v>
      </c>
      <c r="H1461" s="47" t="s">
        <v>42</v>
      </c>
      <c r="I1461" s="47" t="s">
        <v>398</v>
      </c>
      <c r="J1461" s="47" t="s">
        <v>28</v>
      </c>
      <c r="K1461" s="47" t="s">
        <v>34</v>
      </c>
    </row>
    <row r="1462" customFormat="false" ht="15" hidden="false" customHeight="false" outlineLevel="0" collapsed="false">
      <c r="A1462" s="0" t="s">
        <v>2405</v>
      </c>
      <c r="B1462" s="0" t="s">
        <v>1077</v>
      </c>
      <c r="D1462" s="46" t="n">
        <v>46109</v>
      </c>
      <c r="E1462" s="47" t="s">
        <v>62</v>
      </c>
      <c r="F1462" s="48" t="n">
        <v>18030.4</v>
      </c>
      <c r="G1462" s="47" t="s">
        <v>53</v>
      </c>
      <c r="H1462" s="47" t="s">
        <v>40</v>
      </c>
      <c r="I1462" s="47" t="s">
        <v>253</v>
      </c>
      <c r="J1462" s="47" t="s">
        <v>28</v>
      </c>
      <c r="K1462" s="47" t="s">
        <v>34</v>
      </c>
    </row>
    <row r="1463" customFormat="false" ht="15" hidden="false" customHeight="false" outlineLevel="0" collapsed="false">
      <c r="A1463" s="0" t="s">
        <v>2406</v>
      </c>
      <c r="B1463" s="0" t="s">
        <v>1112</v>
      </c>
      <c r="D1463" s="46" t="n">
        <v>45832</v>
      </c>
      <c r="E1463" s="47" t="s">
        <v>60</v>
      </c>
      <c r="F1463" s="48" t="n">
        <v>124219.57</v>
      </c>
      <c r="G1463" s="47" t="s">
        <v>53</v>
      </c>
      <c r="H1463" s="47" t="s">
        <v>39</v>
      </c>
      <c r="I1463" s="47" t="s">
        <v>177</v>
      </c>
      <c r="J1463" s="47" t="s">
        <v>28</v>
      </c>
      <c r="K1463" s="47" t="s">
        <v>34</v>
      </c>
    </row>
    <row r="1464" customFormat="false" ht="15" hidden="false" customHeight="false" outlineLevel="0" collapsed="false">
      <c r="A1464" s="0" t="s">
        <v>2407</v>
      </c>
      <c r="B1464" s="0" t="s">
        <v>2408</v>
      </c>
      <c r="D1464" s="46" t="n">
        <v>46181</v>
      </c>
      <c r="E1464" s="47" t="s">
        <v>55</v>
      </c>
      <c r="F1464" s="48" t="n">
        <v>192457.94</v>
      </c>
      <c r="G1464" s="47" t="s">
        <v>65</v>
      </c>
      <c r="H1464" s="47" t="s">
        <v>44</v>
      </c>
      <c r="I1464" s="47" t="s">
        <v>132</v>
      </c>
      <c r="J1464" s="47" t="s">
        <v>28</v>
      </c>
      <c r="K1464" s="47" t="s">
        <v>34</v>
      </c>
    </row>
    <row r="1465" customFormat="false" ht="15" hidden="false" customHeight="false" outlineLevel="0" collapsed="false">
      <c r="A1465" s="0" t="s">
        <v>2409</v>
      </c>
      <c r="B1465" s="0" t="s">
        <v>1527</v>
      </c>
      <c r="D1465" s="46" t="n">
        <v>46134</v>
      </c>
      <c r="E1465" s="47" t="s">
        <v>61</v>
      </c>
      <c r="F1465" s="48" t="n">
        <v>99254.04</v>
      </c>
      <c r="G1465" s="47" t="s">
        <v>57</v>
      </c>
      <c r="H1465" s="47" t="s">
        <v>41</v>
      </c>
      <c r="I1465" s="47" t="s">
        <v>272</v>
      </c>
      <c r="J1465" s="47" t="s">
        <v>28</v>
      </c>
      <c r="K1465" s="47" t="s">
        <v>34</v>
      </c>
    </row>
    <row r="1466" customFormat="false" ht="15" hidden="false" customHeight="false" outlineLevel="0" collapsed="false">
      <c r="A1466" s="0" t="s">
        <v>2410</v>
      </c>
      <c r="B1466" s="0" t="s">
        <v>2411</v>
      </c>
      <c r="D1466" s="46" t="n">
        <v>46240</v>
      </c>
      <c r="E1466" s="47" t="s">
        <v>59</v>
      </c>
      <c r="F1466" s="48" t="n">
        <v>151750.23</v>
      </c>
      <c r="G1466" s="47" t="s">
        <v>57</v>
      </c>
      <c r="H1466" s="47" t="s">
        <v>41</v>
      </c>
      <c r="I1466" s="47" t="s">
        <v>86</v>
      </c>
      <c r="J1466" s="47" t="s">
        <v>28</v>
      </c>
      <c r="K1466" s="47" t="s">
        <v>34</v>
      </c>
    </row>
    <row r="1467" customFormat="false" ht="15" hidden="false" customHeight="false" outlineLevel="0" collapsed="false">
      <c r="A1467" s="0" t="s">
        <v>2412</v>
      </c>
      <c r="B1467" s="0" t="s">
        <v>1091</v>
      </c>
      <c r="C1467" s="0" t="s">
        <v>2413</v>
      </c>
      <c r="D1467" s="46" t="n">
        <v>46273</v>
      </c>
      <c r="E1467" s="47" t="s">
        <v>58</v>
      </c>
      <c r="F1467" s="48" t="n">
        <v>177010.33</v>
      </c>
      <c r="G1467" s="47" t="s">
        <v>68</v>
      </c>
      <c r="H1467" s="47" t="s">
        <v>43</v>
      </c>
      <c r="I1467" s="47" t="s">
        <v>102</v>
      </c>
      <c r="J1467" s="47" t="s">
        <v>28</v>
      </c>
      <c r="K1467" s="47" t="s">
        <v>33</v>
      </c>
    </row>
    <row r="1468" customFormat="false" ht="15" hidden="false" customHeight="false" outlineLevel="0" collapsed="false">
      <c r="A1468" s="0" t="s">
        <v>2414</v>
      </c>
      <c r="B1468" s="0" t="s">
        <v>1754</v>
      </c>
      <c r="D1468" s="46" t="n">
        <v>45682</v>
      </c>
      <c r="E1468" s="47" t="s">
        <v>62</v>
      </c>
      <c r="F1468" s="48" t="n">
        <v>62004.4</v>
      </c>
      <c r="G1468" s="47" t="s">
        <v>65</v>
      </c>
      <c r="H1468" s="47" t="s">
        <v>47</v>
      </c>
      <c r="I1468" s="47" t="s">
        <v>166</v>
      </c>
      <c r="J1468" s="47" t="s">
        <v>28</v>
      </c>
      <c r="K1468" s="47" t="s">
        <v>34</v>
      </c>
    </row>
    <row r="1469" customFormat="false" ht="15" hidden="false" customHeight="false" outlineLevel="0" collapsed="false">
      <c r="A1469" s="0" t="s">
        <v>2415</v>
      </c>
      <c r="B1469" s="0" t="s">
        <v>354</v>
      </c>
      <c r="D1469" s="46" t="n">
        <v>46216</v>
      </c>
      <c r="E1469" s="47" t="s">
        <v>61</v>
      </c>
      <c r="F1469" s="48" t="n">
        <v>4155.74</v>
      </c>
      <c r="G1469" s="47" t="s">
        <v>68</v>
      </c>
      <c r="H1469" s="47" t="s">
        <v>40</v>
      </c>
      <c r="I1469" s="47" t="s">
        <v>89</v>
      </c>
      <c r="J1469" s="47" t="s">
        <v>28</v>
      </c>
      <c r="K1469" s="47" t="s">
        <v>33</v>
      </c>
    </row>
    <row r="1470" customFormat="false" ht="15" hidden="false" customHeight="false" outlineLevel="0" collapsed="false">
      <c r="A1470" s="0" t="s">
        <v>2416</v>
      </c>
      <c r="B1470" s="0" t="s">
        <v>987</v>
      </c>
      <c r="D1470" s="46" t="n">
        <v>45946</v>
      </c>
      <c r="E1470" s="47" t="s">
        <v>59</v>
      </c>
      <c r="F1470" s="48" t="n">
        <v>152253.41</v>
      </c>
      <c r="G1470" s="47" t="s">
        <v>68</v>
      </c>
      <c r="H1470" s="47" t="s">
        <v>43</v>
      </c>
      <c r="I1470" s="47" t="s">
        <v>201</v>
      </c>
      <c r="J1470" s="47" t="s">
        <v>28</v>
      </c>
      <c r="K1470" s="47" t="s">
        <v>34</v>
      </c>
    </row>
    <row r="1471" customFormat="false" ht="15" hidden="false" customHeight="false" outlineLevel="0" collapsed="false">
      <c r="A1471" s="0" t="s">
        <v>2417</v>
      </c>
      <c r="B1471" s="0" t="s">
        <v>1493</v>
      </c>
      <c r="D1471" s="46" t="n">
        <v>45784</v>
      </c>
      <c r="E1471" s="47" t="s">
        <v>53</v>
      </c>
      <c r="F1471" s="48" t="n">
        <v>30391.81</v>
      </c>
      <c r="G1471" s="47" t="s">
        <v>65</v>
      </c>
      <c r="H1471" s="47" t="s">
        <v>39</v>
      </c>
      <c r="I1471" s="47" t="s">
        <v>145</v>
      </c>
      <c r="J1471" s="47" t="s">
        <v>29</v>
      </c>
      <c r="K1471" s="47" t="s">
        <v>33</v>
      </c>
    </row>
    <row r="1472" customFormat="false" ht="15" hidden="false" customHeight="false" outlineLevel="0" collapsed="false">
      <c r="A1472" s="0" t="s">
        <v>2418</v>
      </c>
      <c r="B1472" s="0" t="s">
        <v>2419</v>
      </c>
      <c r="D1472" s="46" t="n">
        <v>45863</v>
      </c>
      <c r="E1472" s="47" t="s">
        <v>53</v>
      </c>
      <c r="F1472" s="48" t="n">
        <v>57788.08</v>
      </c>
      <c r="G1472" s="47" t="s">
        <v>68</v>
      </c>
      <c r="H1472" s="47" t="s">
        <v>39</v>
      </c>
      <c r="I1472" s="47" t="s">
        <v>98</v>
      </c>
      <c r="J1472" s="47" t="s">
        <v>28</v>
      </c>
      <c r="K1472" s="47" t="s">
        <v>33</v>
      </c>
    </row>
    <row r="1473" customFormat="false" ht="15" hidden="false" customHeight="false" outlineLevel="0" collapsed="false">
      <c r="A1473" s="0" t="s">
        <v>2420</v>
      </c>
      <c r="B1473" s="0" t="s">
        <v>931</v>
      </c>
      <c r="C1473" s="0" t="s">
        <v>2421</v>
      </c>
      <c r="D1473" s="46" t="n">
        <v>46161</v>
      </c>
      <c r="E1473" s="47" t="s">
        <v>61</v>
      </c>
      <c r="F1473" s="48" t="n">
        <v>21973.52</v>
      </c>
      <c r="G1473" s="47" t="s">
        <v>66</v>
      </c>
      <c r="H1473" s="47" t="s">
        <v>42</v>
      </c>
      <c r="I1473" s="47" t="s">
        <v>105</v>
      </c>
      <c r="J1473" s="47" t="s">
        <v>28</v>
      </c>
      <c r="K1473" s="47" t="s">
        <v>34</v>
      </c>
    </row>
    <row r="1474" customFormat="false" ht="15" hidden="false" customHeight="false" outlineLevel="0" collapsed="false">
      <c r="A1474" s="0" t="s">
        <v>2422</v>
      </c>
      <c r="B1474" s="0" t="s">
        <v>669</v>
      </c>
      <c r="C1474" s="0" t="s">
        <v>2423</v>
      </c>
      <c r="D1474" s="46" t="n">
        <v>46037</v>
      </c>
      <c r="E1474" s="47" t="s">
        <v>55</v>
      </c>
      <c r="F1474" s="48" t="n">
        <v>30112.54</v>
      </c>
      <c r="G1474" s="47" t="s">
        <v>66</v>
      </c>
      <c r="H1474" s="47" t="s">
        <v>40</v>
      </c>
      <c r="I1474" s="47" t="s">
        <v>83</v>
      </c>
      <c r="J1474" s="47" t="s">
        <v>28</v>
      </c>
      <c r="K1474" s="47" t="s">
        <v>33</v>
      </c>
    </row>
    <row r="1475" customFormat="false" ht="15" hidden="false" customHeight="false" outlineLevel="0" collapsed="false">
      <c r="A1475" s="0" t="s">
        <v>2424</v>
      </c>
      <c r="B1475" s="0" t="s">
        <v>421</v>
      </c>
      <c r="D1475" s="46" t="n">
        <v>45871</v>
      </c>
      <c r="E1475" s="47" t="s">
        <v>53</v>
      </c>
      <c r="F1475" s="48" t="n">
        <v>115674.11</v>
      </c>
      <c r="G1475" s="47" t="s">
        <v>68</v>
      </c>
      <c r="H1475" s="47" t="s">
        <v>42</v>
      </c>
      <c r="I1475" s="47" t="s">
        <v>105</v>
      </c>
      <c r="J1475" s="47" t="s">
        <v>30</v>
      </c>
      <c r="K1475" s="47" t="s">
        <v>34</v>
      </c>
    </row>
    <row r="1476" customFormat="false" ht="15" hidden="false" customHeight="false" outlineLevel="0" collapsed="false">
      <c r="A1476" s="0" t="s">
        <v>2425</v>
      </c>
      <c r="B1476" s="0" t="s">
        <v>1821</v>
      </c>
      <c r="D1476" s="46" t="n">
        <v>45827</v>
      </c>
      <c r="E1476" s="47" t="s">
        <v>62</v>
      </c>
      <c r="F1476" s="48" t="n">
        <v>197591.9</v>
      </c>
      <c r="G1476" s="47" t="s">
        <v>65</v>
      </c>
      <c r="H1476" s="47" t="s">
        <v>42</v>
      </c>
      <c r="I1476" s="47" t="s">
        <v>398</v>
      </c>
      <c r="J1476" s="47" t="s">
        <v>28</v>
      </c>
      <c r="K1476" s="47" t="s">
        <v>34</v>
      </c>
    </row>
    <row r="1477" customFormat="false" ht="15" hidden="false" customHeight="false" outlineLevel="0" collapsed="false">
      <c r="A1477" s="0" t="s">
        <v>2426</v>
      </c>
      <c r="B1477" s="0" t="s">
        <v>2090</v>
      </c>
      <c r="D1477" s="46" t="n">
        <v>45840</v>
      </c>
      <c r="E1477" s="47" t="s">
        <v>62</v>
      </c>
      <c r="F1477" s="48" t="n">
        <v>70969.75</v>
      </c>
      <c r="G1477" s="47" t="s">
        <v>66</v>
      </c>
      <c r="H1477" s="47" t="s">
        <v>47</v>
      </c>
      <c r="I1477" s="47" t="s">
        <v>108</v>
      </c>
      <c r="J1477" s="47" t="s">
        <v>28</v>
      </c>
      <c r="K1477" s="47" t="s">
        <v>34</v>
      </c>
    </row>
    <row r="1478" customFormat="false" ht="15" hidden="false" customHeight="false" outlineLevel="0" collapsed="false">
      <c r="A1478" s="0" t="s">
        <v>2427</v>
      </c>
      <c r="B1478" s="0" t="s">
        <v>2230</v>
      </c>
      <c r="D1478" s="46" t="n">
        <v>45836</v>
      </c>
      <c r="E1478" s="47" t="s">
        <v>53</v>
      </c>
      <c r="F1478" s="48" t="n">
        <v>67932.77</v>
      </c>
      <c r="G1478" s="47" t="s">
        <v>66</v>
      </c>
      <c r="H1478" s="47" t="s">
        <v>45</v>
      </c>
      <c r="I1478" s="47" t="s">
        <v>95</v>
      </c>
      <c r="J1478" s="47" t="s">
        <v>28</v>
      </c>
      <c r="K1478" s="47" t="s">
        <v>34</v>
      </c>
    </row>
    <row r="1479" customFormat="false" ht="15" hidden="false" customHeight="false" outlineLevel="0" collapsed="false">
      <c r="A1479" s="0" t="s">
        <v>2428</v>
      </c>
      <c r="B1479" s="0" t="s">
        <v>1472</v>
      </c>
      <c r="D1479" s="46" t="n">
        <v>45996</v>
      </c>
      <c r="E1479" s="47" t="s">
        <v>53</v>
      </c>
      <c r="F1479" s="48" t="n">
        <v>149517.04</v>
      </c>
      <c r="G1479" s="47" t="s">
        <v>65</v>
      </c>
      <c r="H1479" s="47" t="s">
        <v>44</v>
      </c>
      <c r="I1479" s="47" t="s">
        <v>132</v>
      </c>
      <c r="J1479" s="47" t="s">
        <v>28</v>
      </c>
      <c r="K1479" s="47" t="s">
        <v>34</v>
      </c>
    </row>
    <row r="1480" customFormat="false" ht="15" hidden="false" customHeight="false" outlineLevel="0" collapsed="false">
      <c r="A1480" s="0" t="s">
        <v>2429</v>
      </c>
      <c r="B1480" s="0" t="s">
        <v>1308</v>
      </c>
      <c r="D1480" s="46" t="n">
        <v>46117</v>
      </c>
      <c r="E1480" s="47" t="s">
        <v>53</v>
      </c>
      <c r="F1480" s="48" t="n">
        <v>72263.99</v>
      </c>
      <c r="G1480" s="47" t="s">
        <v>68</v>
      </c>
      <c r="H1480" s="47" t="s">
        <v>48</v>
      </c>
      <c r="I1480" s="47" t="s">
        <v>111</v>
      </c>
      <c r="J1480" s="47" t="s">
        <v>28</v>
      </c>
      <c r="K1480" s="47" t="s">
        <v>33</v>
      </c>
    </row>
    <row r="1481" customFormat="false" ht="15" hidden="false" customHeight="false" outlineLevel="0" collapsed="false">
      <c r="A1481" s="0" t="s">
        <v>2430</v>
      </c>
      <c r="B1481" s="0" t="s">
        <v>1880</v>
      </c>
      <c r="D1481" s="46" t="n">
        <v>46226</v>
      </c>
      <c r="E1481" s="47" t="s">
        <v>55</v>
      </c>
      <c r="F1481" s="48" t="n">
        <v>195872.21</v>
      </c>
      <c r="G1481" s="47" t="s">
        <v>65</v>
      </c>
      <c r="H1481" s="47" t="s">
        <v>43</v>
      </c>
      <c r="I1481" s="47" t="s">
        <v>102</v>
      </c>
      <c r="J1481" s="47" t="s">
        <v>28</v>
      </c>
      <c r="K1481" s="47" t="s">
        <v>33</v>
      </c>
    </row>
    <row r="1482" customFormat="false" ht="15" hidden="false" customHeight="false" outlineLevel="0" collapsed="false">
      <c r="A1482" s="0" t="s">
        <v>2431</v>
      </c>
      <c r="B1482" s="0" t="s">
        <v>520</v>
      </c>
      <c r="D1482" s="46" t="n">
        <v>45747</v>
      </c>
      <c r="E1482" s="47" t="s">
        <v>60</v>
      </c>
      <c r="F1482" s="48" t="n">
        <v>56262.19</v>
      </c>
      <c r="G1482" s="47" t="s">
        <v>57</v>
      </c>
      <c r="H1482" s="47" t="s">
        <v>47</v>
      </c>
      <c r="I1482" s="47" t="s">
        <v>108</v>
      </c>
      <c r="J1482" s="47" t="s">
        <v>28</v>
      </c>
      <c r="K1482" s="47" t="s">
        <v>33</v>
      </c>
    </row>
    <row r="1483" customFormat="false" ht="15" hidden="false" customHeight="false" outlineLevel="0" collapsed="false">
      <c r="A1483" s="0" t="s">
        <v>2432</v>
      </c>
      <c r="B1483" s="0" t="s">
        <v>235</v>
      </c>
      <c r="D1483" s="46" t="n">
        <v>45925</v>
      </c>
      <c r="E1483" s="47" t="s">
        <v>60</v>
      </c>
      <c r="F1483" s="48" t="n">
        <v>199745.69</v>
      </c>
      <c r="G1483" s="47" t="s">
        <v>66</v>
      </c>
      <c r="H1483" s="47" t="s">
        <v>47</v>
      </c>
      <c r="I1483" s="47" t="s">
        <v>108</v>
      </c>
      <c r="J1483" s="47" t="s">
        <v>28</v>
      </c>
      <c r="K1483" s="47" t="s">
        <v>33</v>
      </c>
    </row>
    <row r="1484" customFormat="false" ht="15" hidden="false" customHeight="false" outlineLevel="0" collapsed="false">
      <c r="A1484" s="0" t="s">
        <v>2433</v>
      </c>
      <c r="B1484" s="0" t="s">
        <v>2388</v>
      </c>
      <c r="D1484" s="46" t="n">
        <v>45771</v>
      </c>
      <c r="E1484" s="47" t="s">
        <v>61</v>
      </c>
      <c r="F1484" s="48" t="n">
        <v>100368.92</v>
      </c>
      <c r="G1484" s="47" t="s">
        <v>68</v>
      </c>
      <c r="H1484" s="47" t="s">
        <v>43</v>
      </c>
      <c r="I1484" s="47" t="s">
        <v>102</v>
      </c>
      <c r="J1484" s="47" t="s">
        <v>28</v>
      </c>
      <c r="K1484" s="47" t="s">
        <v>33</v>
      </c>
    </row>
    <row r="1485" customFormat="false" ht="15" hidden="false" customHeight="false" outlineLevel="0" collapsed="false">
      <c r="A1485" s="0" t="s">
        <v>2434</v>
      </c>
      <c r="B1485" s="0" t="s">
        <v>851</v>
      </c>
      <c r="D1485" s="46" t="n">
        <v>45859</v>
      </c>
      <c r="E1485" s="47" t="s">
        <v>62</v>
      </c>
      <c r="F1485" s="48" t="n">
        <v>20811.39</v>
      </c>
      <c r="G1485" s="47" t="s">
        <v>57</v>
      </c>
      <c r="H1485" s="47" t="s">
        <v>46</v>
      </c>
      <c r="I1485" s="47" t="s">
        <v>148</v>
      </c>
      <c r="J1485" s="47" t="s">
        <v>28</v>
      </c>
      <c r="K1485" s="47" t="s">
        <v>34</v>
      </c>
    </row>
    <row r="1486" customFormat="false" ht="15" hidden="false" customHeight="false" outlineLevel="0" collapsed="false">
      <c r="A1486" s="0" t="s">
        <v>2435</v>
      </c>
      <c r="B1486" s="0" t="s">
        <v>397</v>
      </c>
      <c r="D1486" s="46" t="n">
        <v>46094</v>
      </c>
      <c r="E1486" s="47" t="s">
        <v>55</v>
      </c>
      <c r="F1486" s="48" t="n">
        <v>1997.56</v>
      </c>
      <c r="G1486" s="47" t="s">
        <v>57</v>
      </c>
      <c r="H1486" s="47" t="s">
        <v>42</v>
      </c>
      <c r="I1486" s="47" t="s">
        <v>398</v>
      </c>
      <c r="J1486" s="47" t="s">
        <v>30</v>
      </c>
      <c r="K1486" s="47" t="s">
        <v>34</v>
      </c>
    </row>
    <row r="1487" customFormat="false" ht="15" hidden="false" customHeight="false" outlineLevel="0" collapsed="false">
      <c r="A1487" s="0" t="s">
        <v>2436</v>
      </c>
      <c r="B1487" s="0" t="s">
        <v>2437</v>
      </c>
      <c r="D1487" s="46" t="n">
        <v>45870</v>
      </c>
      <c r="E1487" s="47" t="s">
        <v>60</v>
      </c>
      <c r="F1487" s="48" t="n">
        <v>86208.13</v>
      </c>
      <c r="G1487" s="47" t="s">
        <v>66</v>
      </c>
      <c r="H1487" s="47" t="s">
        <v>42</v>
      </c>
      <c r="I1487" s="47" t="s">
        <v>137</v>
      </c>
      <c r="J1487" s="47" t="s">
        <v>28</v>
      </c>
      <c r="K1487" s="47" t="s">
        <v>33</v>
      </c>
    </row>
    <row r="1488" customFormat="false" ht="15" hidden="false" customHeight="false" outlineLevel="0" collapsed="false">
      <c r="A1488" s="0" t="s">
        <v>2438</v>
      </c>
      <c r="B1488" s="0" t="s">
        <v>1472</v>
      </c>
      <c r="D1488" s="46" t="n">
        <v>45690</v>
      </c>
      <c r="E1488" s="47" t="s">
        <v>62</v>
      </c>
      <c r="F1488" s="48" t="n">
        <v>163815.22</v>
      </c>
      <c r="G1488" s="47" t="s">
        <v>53</v>
      </c>
      <c r="H1488" s="47" t="s">
        <v>44</v>
      </c>
      <c r="I1488" s="47" t="s">
        <v>132</v>
      </c>
      <c r="J1488" s="47" t="s">
        <v>28</v>
      </c>
      <c r="K1488" s="47" t="s">
        <v>33</v>
      </c>
    </row>
    <row r="1489" customFormat="false" ht="15" hidden="false" customHeight="false" outlineLevel="0" collapsed="false">
      <c r="A1489" s="0" t="s">
        <v>2439</v>
      </c>
      <c r="B1489" s="0" t="s">
        <v>203</v>
      </c>
      <c r="D1489" s="46" t="n">
        <v>46217</v>
      </c>
      <c r="E1489" s="47" t="s">
        <v>58</v>
      </c>
      <c r="F1489" s="48" t="n">
        <v>72863.71</v>
      </c>
      <c r="G1489" s="47" t="s">
        <v>68</v>
      </c>
      <c r="H1489" s="47" t="s">
        <v>39</v>
      </c>
      <c r="I1489" s="47" t="s">
        <v>177</v>
      </c>
      <c r="J1489" s="47" t="s">
        <v>28</v>
      </c>
      <c r="K1489" s="47" t="s">
        <v>34</v>
      </c>
    </row>
    <row r="1490" customFormat="false" ht="15" hidden="false" customHeight="false" outlineLevel="0" collapsed="false">
      <c r="A1490" s="0" t="s">
        <v>2440</v>
      </c>
      <c r="B1490" s="0" t="s">
        <v>1226</v>
      </c>
      <c r="D1490" s="46" t="n">
        <v>45875</v>
      </c>
      <c r="E1490" s="47" t="s">
        <v>62</v>
      </c>
      <c r="F1490" s="48" t="n">
        <v>80346.18</v>
      </c>
      <c r="G1490" s="47" t="s">
        <v>65</v>
      </c>
      <c r="H1490" s="47" t="s">
        <v>43</v>
      </c>
      <c r="I1490" s="47" t="s">
        <v>117</v>
      </c>
      <c r="J1490" s="47" t="s">
        <v>28</v>
      </c>
      <c r="K1490" s="47" t="s">
        <v>34</v>
      </c>
    </row>
    <row r="1491" customFormat="false" ht="15" hidden="false" customHeight="false" outlineLevel="0" collapsed="false">
      <c r="A1491" s="0" t="s">
        <v>2441</v>
      </c>
      <c r="B1491" s="0" t="s">
        <v>2214</v>
      </c>
      <c r="D1491" s="46" t="n">
        <v>46156</v>
      </c>
      <c r="E1491" s="47" t="s">
        <v>59</v>
      </c>
      <c r="F1491" s="48" t="n">
        <v>5788.45</v>
      </c>
      <c r="G1491" s="47" t="s">
        <v>53</v>
      </c>
      <c r="H1491" s="47" t="s">
        <v>44</v>
      </c>
      <c r="I1491" s="47" t="s">
        <v>226</v>
      </c>
      <c r="J1491" s="47" t="s">
        <v>28</v>
      </c>
      <c r="K1491" s="47" t="s">
        <v>33</v>
      </c>
    </row>
    <row r="1492" customFormat="false" ht="15" hidden="false" customHeight="false" outlineLevel="0" collapsed="false">
      <c r="A1492" s="0" t="s">
        <v>2442</v>
      </c>
      <c r="B1492" s="0" t="s">
        <v>207</v>
      </c>
      <c r="D1492" s="46" t="n">
        <v>46016</v>
      </c>
      <c r="E1492" s="47" t="s">
        <v>59</v>
      </c>
      <c r="F1492" s="48" t="n">
        <v>170407.83</v>
      </c>
      <c r="G1492" s="47" t="s">
        <v>57</v>
      </c>
      <c r="H1492" s="47" t="s">
        <v>45</v>
      </c>
      <c r="I1492" s="47" t="s">
        <v>151</v>
      </c>
      <c r="J1492" s="47" t="s">
        <v>28</v>
      </c>
      <c r="K1492" s="47" t="s">
        <v>33</v>
      </c>
    </row>
    <row r="1493" customFormat="false" ht="15" hidden="false" customHeight="false" outlineLevel="0" collapsed="false">
      <c r="A1493" s="0" t="s">
        <v>2443</v>
      </c>
      <c r="B1493" s="0" t="s">
        <v>738</v>
      </c>
      <c r="D1493" s="46" t="n">
        <v>45842</v>
      </c>
      <c r="E1493" s="47" t="s">
        <v>55</v>
      </c>
      <c r="F1493" s="48" t="n">
        <v>97043.21</v>
      </c>
      <c r="G1493" s="47" t="s">
        <v>57</v>
      </c>
      <c r="H1493" s="47" t="s">
        <v>47</v>
      </c>
      <c r="I1493" s="47" t="s">
        <v>245</v>
      </c>
      <c r="J1493" s="47" t="s">
        <v>29</v>
      </c>
      <c r="K1493" s="47" t="s">
        <v>34</v>
      </c>
    </row>
    <row r="1494" customFormat="false" ht="15" hidden="false" customHeight="false" outlineLevel="0" collapsed="false">
      <c r="A1494" s="0" t="s">
        <v>2444</v>
      </c>
      <c r="B1494" s="0" t="s">
        <v>894</v>
      </c>
      <c r="D1494" s="46" t="n">
        <v>46247</v>
      </c>
      <c r="E1494" s="47" t="s">
        <v>55</v>
      </c>
      <c r="F1494" s="48" t="n">
        <v>61743.53</v>
      </c>
      <c r="G1494" s="47" t="s">
        <v>68</v>
      </c>
      <c r="H1494" s="47" t="s">
        <v>45</v>
      </c>
      <c r="I1494" s="47" t="s">
        <v>217</v>
      </c>
      <c r="J1494" s="47" t="s">
        <v>28</v>
      </c>
      <c r="K1494" s="47" t="s">
        <v>33</v>
      </c>
    </row>
    <row r="1495" customFormat="false" ht="15" hidden="false" customHeight="false" outlineLevel="0" collapsed="false">
      <c r="A1495" s="0" t="s">
        <v>2445</v>
      </c>
      <c r="B1495" s="0" t="s">
        <v>2180</v>
      </c>
      <c r="D1495" s="46" t="n">
        <v>45945</v>
      </c>
      <c r="E1495" s="47" t="s">
        <v>53</v>
      </c>
      <c r="F1495" s="48" t="n">
        <v>84143.67</v>
      </c>
      <c r="G1495" s="47" t="s">
        <v>53</v>
      </c>
      <c r="H1495" s="47" t="s">
        <v>47</v>
      </c>
      <c r="I1495" s="47" t="s">
        <v>166</v>
      </c>
      <c r="J1495" s="47" t="s">
        <v>28</v>
      </c>
      <c r="K1495" s="47" t="s">
        <v>33</v>
      </c>
    </row>
    <row r="1496" customFormat="false" ht="15" hidden="false" customHeight="false" outlineLevel="0" collapsed="false">
      <c r="A1496" s="0" t="s">
        <v>2446</v>
      </c>
      <c r="B1496" s="0" t="s">
        <v>730</v>
      </c>
      <c r="D1496" s="46" t="n">
        <v>45672</v>
      </c>
      <c r="E1496" s="47" t="s">
        <v>61</v>
      </c>
      <c r="F1496" s="48" t="n">
        <v>59416.44</v>
      </c>
      <c r="G1496" s="47" t="s">
        <v>57</v>
      </c>
      <c r="H1496" s="47" t="s">
        <v>48</v>
      </c>
      <c r="I1496" s="47" t="s">
        <v>114</v>
      </c>
      <c r="J1496" s="47" t="s">
        <v>28</v>
      </c>
      <c r="K1496" s="47" t="s">
        <v>33</v>
      </c>
    </row>
    <row r="1497" customFormat="false" ht="15" hidden="false" customHeight="false" outlineLevel="0" collapsed="false">
      <c r="A1497" s="0" t="s">
        <v>2447</v>
      </c>
      <c r="B1497" s="0" t="s">
        <v>1641</v>
      </c>
      <c r="D1497" s="46" t="n">
        <v>46031</v>
      </c>
      <c r="E1497" s="47" t="s">
        <v>61</v>
      </c>
      <c r="F1497" s="48" t="n">
        <v>183656.47</v>
      </c>
      <c r="G1497" s="47" t="s">
        <v>66</v>
      </c>
      <c r="H1497" s="47" t="s">
        <v>48</v>
      </c>
      <c r="I1497" s="47" t="s">
        <v>212</v>
      </c>
      <c r="J1497" s="47" t="s">
        <v>28</v>
      </c>
      <c r="K1497" s="47" t="s">
        <v>34</v>
      </c>
    </row>
    <row r="1498" customFormat="false" ht="15" hidden="false" customHeight="false" outlineLevel="0" collapsed="false">
      <c r="A1498" s="0" t="s">
        <v>2448</v>
      </c>
      <c r="B1498" s="0" t="s">
        <v>725</v>
      </c>
      <c r="D1498" s="46" t="n">
        <v>46180</v>
      </c>
      <c r="E1498" s="47" t="s">
        <v>61</v>
      </c>
      <c r="F1498" s="48" t="n">
        <v>129870.89</v>
      </c>
      <c r="G1498" s="47" t="s">
        <v>66</v>
      </c>
      <c r="H1498" s="47" t="s">
        <v>41</v>
      </c>
      <c r="I1498" s="47" t="s">
        <v>272</v>
      </c>
      <c r="J1498" s="47" t="s">
        <v>29</v>
      </c>
      <c r="K1498" s="47" t="s">
        <v>34</v>
      </c>
    </row>
    <row r="1499" customFormat="false" ht="15" hidden="false" customHeight="false" outlineLevel="0" collapsed="false">
      <c r="A1499" s="0" t="s">
        <v>2449</v>
      </c>
      <c r="B1499" s="0" t="s">
        <v>2450</v>
      </c>
      <c r="D1499" s="46" t="n">
        <v>45922</v>
      </c>
      <c r="E1499" s="47" t="s">
        <v>62</v>
      </c>
      <c r="F1499" s="48" t="n">
        <v>186292.33</v>
      </c>
      <c r="G1499" s="47" t="s">
        <v>53</v>
      </c>
      <c r="H1499" s="47" t="s">
        <v>43</v>
      </c>
      <c r="I1499" s="47" t="s">
        <v>102</v>
      </c>
      <c r="J1499" s="47" t="s">
        <v>28</v>
      </c>
      <c r="K1499" s="47" t="s">
        <v>33</v>
      </c>
    </row>
    <row r="1500" customFormat="false" ht="15" hidden="false" customHeight="false" outlineLevel="0" collapsed="false">
      <c r="A1500" s="0" t="s">
        <v>2451</v>
      </c>
      <c r="B1500" s="0" t="s">
        <v>559</v>
      </c>
      <c r="D1500" s="46" t="n">
        <v>45791</v>
      </c>
      <c r="E1500" s="47" t="s">
        <v>58</v>
      </c>
      <c r="F1500" s="48" t="n">
        <v>182045.58</v>
      </c>
      <c r="G1500" s="47" t="s">
        <v>65</v>
      </c>
      <c r="H1500" s="47" t="s">
        <v>44</v>
      </c>
      <c r="I1500" s="47" t="s">
        <v>80</v>
      </c>
      <c r="J1500" s="47" t="s">
        <v>28</v>
      </c>
      <c r="K1500" s="47" t="s">
        <v>34</v>
      </c>
    </row>
    <row r="1501" customFormat="false" ht="15" hidden="false" customHeight="false" outlineLevel="0" collapsed="false">
      <c r="A1501" s="0" t="s">
        <v>2452</v>
      </c>
      <c r="B1501" s="0" t="s">
        <v>288</v>
      </c>
      <c r="D1501" s="46" t="n">
        <v>45866</v>
      </c>
      <c r="E1501" s="47" t="s">
        <v>62</v>
      </c>
      <c r="F1501" s="48" t="n">
        <v>9756.33</v>
      </c>
      <c r="G1501" s="47" t="s">
        <v>68</v>
      </c>
      <c r="H1501" s="47" t="s">
        <v>44</v>
      </c>
      <c r="I1501" s="47" t="s">
        <v>80</v>
      </c>
      <c r="J1501" s="47" t="s">
        <v>28</v>
      </c>
      <c r="K1501" s="47" t="s">
        <v>34</v>
      </c>
    </row>
    <row r="1502" customFormat="false" ht="15" hidden="false" customHeight="false" outlineLevel="0" collapsed="false">
      <c r="A1502" s="0" t="s">
        <v>2453</v>
      </c>
      <c r="B1502" s="0" t="s">
        <v>1155</v>
      </c>
      <c r="D1502" s="46" t="n">
        <v>45932</v>
      </c>
      <c r="E1502" s="47" t="s">
        <v>58</v>
      </c>
      <c r="F1502" s="48" t="n">
        <v>177873.32</v>
      </c>
      <c r="G1502" s="47" t="s">
        <v>53</v>
      </c>
      <c r="H1502" s="47" t="s">
        <v>44</v>
      </c>
      <c r="I1502" s="47" t="s">
        <v>132</v>
      </c>
      <c r="J1502" s="47" t="s">
        <v>28</v>
      </c>
      <c r="K1502" s="47" t="s">
        <v>33</v>
      </c>
    </row>
    <row r="1503" customFormat="false" ht="15" hidden="false" customHeight="false" outlineLevel="0" collapsed="false">
      <c r="A1503" s="0" t="s">
        <v>2454</v>
      </c>
      <c r="B1503" s="0" t="s">
        <v>2455</v>
      </c>
      <c r="D1503" s="46" t="n">
        <v>46179</v>
      </c>
      <c r="E1503" s="47" t="s">
        <v>62</v>
      </c>
      <c r="F1503" s="48" t="n">
        <v>22080.98</v>
      </c>
      <c r="G1503" s="47" t="s">
        <v>57</v>
      </c>
      <c r="H1503" s="47" t="s">
        <v>48</v>
      </c>
      <c r="I1503" s="47" t="s">
        <v>212</v>
      </c>
      <c r="J1503" s="47" t="s">
        <v>28</v>
      </c>
      <c r="K1503" s="47" t="s">
        <v>34</v>
      </c>
    </row>
    <row r="1504" customFormat="false" ht="15" hidden="false" customHeight="false" outlineLevel="0" collapsed="false">
      <c r="A1504" s="0" t="s">
        <v>2456</v>
      </c>
      <c r="B1504" s="0" t="s">
        <v>2199</v>
      </c>
      <c r="C1504" s="0" t="s">
        <v>2457</v>
      </c>
      <c r="D1504" s="46" t="n">
        <v>45761</v>
      </c>
      <c r="E1504" s="47" t="s">
        <v>60</v>
      </c>
      <c r="F1504" s="48" t="n">
        <v>94187.97</v>
      </c>
      <c r="G1504" s="47" t="s">
        <v>68</v>
      </c>
      <c r="H1504" s="47" t="s">
        <v>43</v>
      </c>
      <c r="I1504" s="47" t="s">
        <v>102</v>
      </c>
      <c r="J1504" s="47" t="s">
        <v>28</v>
      </c>
      <c r="K1504" s="47" t="s">
        <v>33</v>
      </c>
    </row>
    <row r="1505" customFormat="false" ht="15" hidden="false" customHeight="false" outlineLevel="0" collapsed="false">
      <c r="A1505" s="0" t="s">
        <v>2458</v>
      </c>
      <c r="B1505" s="0" t="s">
        <v>1982</v>
      </c>
      <c r="D1505" s="46" t="n">
        <v>46005</v>
      </c>
      <c r="E1505" s="47" t="s">
        <v>62</v>
      </c>
      <c r="F1505" s="48" t="n">
        <v>21617.52</v>
      </c>
      <c r="G1505" s="47" t="s">
        <v>65</v>
      </c>
      <c r="H1505" s="47" t="s">
        <v>47</v>
      </c>
      <c r="I1505" s="47" t="s">
        <v>108</v>
      </c>
      <c r="J1505" s="47" t="s">
        <v>28</v>
      </c>
      <c r="K1505" s="47" t="s">
        <v>34</v>
      </c>
    </row>
    <row r="1506" customFormat="false" ht="15" hidden="false" customHeight="false" outlineLevel="0" collapsed="false">
      <c r="A1506" s="0" t="s">
        <v>2459</v>
      </c>
      <c r="B1506" s="0" t="s">
        <v>1209</v>
      </c>
      <c r="D1506" s="46" t="n">
        <v>46014</v>
      </c>
      <c r="E1506" s="47" t="s">
        <v>62</v>
      </c>
      <c r="F1506" s="48" t="n">
        <v>52537.68</v>
      </c>
      <c r="G1506" s="47" t="s">
        <v>57</v>
      </c>
      <c r="H1506" s="47" t="s">
        <v>42</v>
      </c>
      <c r="I1506" s="47" t="s">
        <v>105</v>
      </c>
      <c r="J1506" s="47" t="s">
        <v>28</v>
      </c>
      <c r="K1506" s="47" t="s">
        <v>33</v>
      </c>
    </row>
    <row r="1507" customFormat="false" ht="15" hidden="false" customHeight="false" outlineLevel="0" collapsed="false">
      <c r="A1507" s="0" t="s">
        <v>2460</v>
      </c>
      <c r="B1507" s="0" t="s">
        <v>1012</v>
      </c>
      <c r="D1507" s="46" t="n">
        <v>46034</v>
      </c>
      <c r="E1507" s="47" t="s">
        <v>58</v>
      </c>
      <c r="F1507" s="48" t="n">
        <v>44316.35</v>
      </c>
      <c r="G1507" s="47" t="s">
        <v>65</v>
      </c>
      <c r="H1507" s="47" t="s">
        <v>47</v>
      </c>
      <c r="I1507" s="47" t="s">
        <v>166</v>
      </c>
      <c r="J1507" s="47" t="s">
        <v>28</v>
      </c>
      <c r="K1507" s="47" t="s">
        <v>33</v>
      </c>
    </row>
    <row r="1508" customFormat="false" ht="15" hidden="false" customHeight="false" outlineLevel="0" collapsed="false">
      <c r="A1508" s="0" t="s">
        <v>2461</v>
      </c>
      <c r="B1508" s="0" t="s">
        <v>1389</v>
      </c>
      <c r="C1508" s="0" t="s">
        <v>2462</v>
      </c>
      <c r="D1508" s="46" t="n">
        <v>45824</v>
      </c>
      <c r="E1508" s="47" t="s">
        <v>59</v>
      </c>
      <c r="F1508" s="48" t="n">
        <v>141267.39</v>
      </c>
      <c r="G1508" s="47" t="s">
        <v>65</v>
      </c>
      <c r="H1508" s="47" t="s">
        <v>44</v>
      </c>
      <c r="I1508" s="47" t="s">
        <v>132</v>
      </c>
      <c r="J1508" s="47" t="s">
        <v>28</v>
      </c>
      <c r="K1508" s="47" t="s">
        <v>34</v>
      </c>
    </row>
    <row r="1509" customFormat="false" ht="15" hidden="false" customHeight="false" outlineLevel="0" collapsed="false">
      <c r="A1509" s="0" t="s">
        <v>2463</v>
      </c>
      <c r="B1509" s="0" t="s">
        <v>2464</v>
      </c>
      <c r="C1509" s="0" t="s">
        <v>2465</v>
      </c>
      <c r="D1509" s="46" t="n">
        <v>46241</v>
      </c>
      <c r="E1509" s="47" t="s">
        <v>60</v>
      </c>
      <c r="F1509" s="48" t="n">
        <v>115014.03</v>
      </c>
      <c r="G1509" s="47" t="s">
        <v>53</v>
      </c>
      <c r="H1509" s="47" t="s">
        <v>48</v>
      </c>
      <c r="I1509" s="47" t="s">
        <v>114</v>
      </c>
      <c r="J1509" s="47" t="s">
        <v>28</v>
      </c>
      <c r="K1509" s="47" t="s">
        <v>33</v>
      </c>
    </row>
    <row r="1510" customFormat="false" ht="15" hidden="false" customHeight="false" outlineLevel="0" collapsed="false">
      <c r="A1510" s="0" t="s">
        <v>2466</v>
      </c>
      <c r="B1510" s="0" t="s">
        <v>509</v>
      </c>
      <c r="C1510" s="0" t="s">
        <v>1649</v>
      </c>
      <c r="D1510" s="46" t="n">
        <v>45905</v>
      </c>
      <c r="E1510" s="47" t="s">
        <v>53</v>
      </c>
      <c r="F1510" s="48" t="n">
        <v>97791.78</v>
      </c>
      <c r="G1510" s="47" t="s">
        <v>65</v>
      </c>
      <c r="H1510" s="47" t="s">
        <v>46</v>
      </c>
      <c r="I1510" s="47" t="s">
        <v>121</v>
      </c>
      <c r="J1510" s="47" t="s">
        <v>28</v>
      </c>
      <c r="K1510" s="47" t="s">
        <v>34</v>
      </c>
    </row>
    <row r="1511" customFormat="false" ht="15" hidden="false" customHeight="false" outlineLevel="0" collapsed="false">
      <c r="A1511" s="0" t="s">
        <v>2467</v>
      </c>
      <c r="B1511" s="0" t="s">
        <v>1444</v>
      </c>
      <c r="D1511" s="46" t="n">
        <v>45986</v>
      </c>
      <c r="E1511" s="47" t="s">
        <v>58</v>
      </c>
      <c r="F1511" s="48" t="n">
        <v>14346.45</v>
      </c>
      <c r="G1511" s="47" t="s">
        <v>53</v>
      </c>
      <c r="H1511" s="47" t="s">
        <v>45</v>
      </c>
      <c r="I1511" s="47" t="s">
        <v>217</v>
      </c>
      <c r="J1511" s="47" t="s">
        <v>28</v>
      </c>
      <c r="K1511" s="47" t="s">
        <v>34</v>
      </c>
    </row>
    <row r="1512" customFormat="false" ht="15" hidden="false" customHeight="false" outlineLevel="0" collapsed="false">
      <c r="A1512" s="0" t="s">
        <v>2468</v>
      </c>
      <c r="B1512" s="0" t="s">
        <v>463</v>
      </c>
      <c r="C1512" s="0" t="s">
        <v>464</v>
      </c>
      <c r="D1512" s="46" t="n">
        <v>46239</v>
      </c>
      <c r="E1512" s="47" t="s">
        <v>61</v>
      </c>
      <c r="F1512" s="48" t="n">
        <v>99611.3</v>
      </c>
      <c r="G1512" s="47" t="s">
        <v>68</v>
      </c>
      <c r="H1512" s="47" t="s">
        <v>40</v>
      </c>
      <c r="I1512" s="47" t="s">
        <v>83</v>
      </c>
      <c r="J1512" s="47" t="s">
        <v>28</v>
      </c>
      <c r="K1512" s="47" t="s">
        <v>34</v>
      </c>
    </row>
    <row r="1513" customFormat="false" ht="15" hidden="false" customHeight="false" outlineLevel="0" collapsed="false">
      <c r="A1513" s="0" t="s">
        <v>2469</v>
      </c>
      <c r="B1513" s="0" t="s">
        <v>219</v>
      </c>
      <c r="D1513" s="46" t="n">
        <v>45918</v>
      </c>
      <c r="E1513" s="47" t="s">
        <v>59</v>
      </c>
      <c r="F1513" s="48" t="n">
        <v>70790.3</v>
      </c>
      <c r="G1513" s="47" t="s">
        <v>57</v>
      </c>
      <c r="H1513" s="47" t="s">
        <v>40</v>
      </c>
      <c r="I1513" s="47" t="s">
        <v>83</v>
      </c>
      <c r="J1513" s="47" t="s">
        <v>28</v>
      </c>
      <c r="K1513" s="47" t="s">
        <v>34</v>
      </c>
    </row>
    <row r="1514" customFormat="false" ht="15" hidden="false" customHeight="false" outlineLevel="0" collapsed="false">
      <c r="A1514" s="0" t="s">
        <v>2470</v>
      </c>
      <c r="B1514" s="0" t="s">
        <v>1440</v>
      </c>
      <c r="D1514" s="46" t="n">
        <v>46136</v>
      </c>
      <c r="E1514" s="47" t="s">
        <v>58</v>
      </c>
      <c r="F1514" s="48" t="n">
        <v>136652.12</v>
      </c>
      <c r="G1514" s="47" t="s">
        <v>57</v>
      </c>
      <c r="H1514" s="47" t="s">
        <v>45</v>
      </c>
      <c r="I1514" s="47" t="s">
        <v>217</v>
      </c>
      <c r="J1514" s="47" t="s">
        <v>28</v>
      </c>
      <c r="K1514" s="47" t="s">
        <v>33</v>
      </c>
    </row>
    <row r="1515" customFormat="false" ht="15" hidden="false" customHeight="false" outlineLevel="0" collapsed="false">
      <c r="A1515" s="0" t="s">
        <v>2471</v>
      </c>
      <c r="B1515" s="0" t="s">
        <v>944</v>
      </c>
      <c r="D1515" s="46" t="n">
        <v>45661</v>
      </c>
      <c r="E1515" s="47" t="s">
        <v>53</v>
      </c>
      <c r="F1515" s="48" t="n">
        <v>18743.84</v>
      </c>
      <c r="G1515" s="47" t="s">
        <v>65</v>
      </c>
      <c r="H1515" s="47" t="s">
        <v>45</v>
      </c>
      <c r="I1515" s="47" t="s">
        <v>217</v>
      </c>
      <c r="J1515" s="47" t="s">
        <v>28</v>
      </c>
      <c r="K1515" s="47" t="s">
        <v>33</v>
      </c>
    </row>
    <row r="1516" customFormat="false" ht="15" hidden="false" customHeight="false" outlineLevel="0" collapsed="false">
      <c r="A1516" s="0" t="s">
        <v>2472</v>
      </c>
      <c r="B1516" s="0" t="s">
        <v>506</v>
      </c>
      <c r="D1516" s="46" t="n">
        <v>46145</v>
      </c>
      <c r="E1516" s="47" t="s">
        <v>58</v>
      </c>
      <c r="F1516" s="48" t="n">
        <v>17202.44</v>
      </c>
      <c r="G1516" s="47" t="s">
        <v>68</v>
      </c>
      <c r="H1516" s="47" t="s">
        <v>40</v>
      </c>
      <c r="I1516" s="47" t="s">
        <v>89</v>
      </c>
      <c r="J1516" s="47" t="s">
        <v>28</v>
      </c>
      <c r="K1516" s="47" t="s">
        <v>33</v>
      </c>
    </row>
    <row r="1517" customFormat="false" ht="15" hidden="false" customHeight="false" outlineLevel="0" collapsed="false">
      <c r="A1517" s="0" t="s">
        <v>2473</v>
      </c>
      <c r="B1517" s="0" t="s">
        <v>2474</v>
      </c>
      <c r="C1517" s="0" t="s">
        <v>2475</v>
      </c>
      <c r="D1517" s="46" t="n">
        <v>45701</v>
      </c>
      <c r="E1517" s="47" t="s">
        <v>53</v>
      </c>
      <c r="F1517" s="48" t="n">
        <v>173273.42</v>
      </c>
      <c r="G1517" s="47" t="s">
        <v>65</v>
      </c>
      <c r="H1517" s="47" t="s">
        <v>41</v>
      </c>
      <c r="I1517" s="47" t="s">
        <v>293</v>
      </c>
      <c r="J1517" s="47" t="s">
        <v>28</v>
      </c>
      <c r="K1517" s="47" t="s">
        <v>33</v>
      </c>
    </row>
    <row r="1518" customFormat="false" ht="15" hidden="false" customHeight="false" outlineLevel="0" collapsed="false">
      <c r="A1518" s="0" t="s">
        <v>2476</v>
      </c>
      <c r="B1518" s="0" t="s">
        <v>513</v>
      </c>
      <c r="D1518" s="46" t="n">
        <v>45755</v>
      </c>
      <c r="E1518" s="47" t="s">
        <v>55</v>
      </c>
      <c r="F1518" s="48" t="n">
        <v>22078.33</v>
      </c>
      <c r="G1518" s="47" t="s">
        <v>68</v>
      </c>
      <c r="H1518" s="47" t="s">
        <v>44</v>
      </c>
      <c r="I1518" s="47" t="s">
        <v>80</v>
      </c>
      <c r="J1518" s="47" t="s">
        <v>30</v>
      </c>
      <c r="K1518" s="47" t="s">
        <v>34</v>
      </c>
    </row>
    <row r="1519" customFormat="false" ht="15" hidden="false" customHeight="false" outlineLevel="0" collapsed="false">
      <c r="A1519" s="0" t="s">
        <v>2477</v>
      </c>
      <c r="B1519" s="0" t="s">
        <v>2151</v>
      </c>
      <c r="D1519" s="46" t="n">
        <v>46016</v>
      </c>
      <c r="E1519" s="47" t="s">
        <v>55</v>
      </c>
      <c r="F1519" s="48" t="n">
        <v>116299.74</v>
      </c>
      <c r="G1519" s="47" t="s">
        <v>66</v>
      </c>
      <c r="H1519" s="47" t="s">
        <v>41</v>
      </c>
      <c r="I1519" s="47" t="s">
        <v>86</v>
      </c>
      <c r="J1519" s="47" t="s">
        <v>28</v>
      </c>
      <c r="K1519" s="47" t="s">
        <v>33</v>
      </c>
    </row>
    <row r="1520" customFormat="false" ht="15" hidden="false" customHeight="false" outlineLevel="0" collapsed="false">
      <c r="A1520" s="0" t="s">
        <v>2478</v>
      </c>
      <c r="B1520" s="0" t="s">
        <v>1684</v>
      </c>
      <c r="D1520" s="46" t="n">
        <v>45714</v>
      </c>
      <c r="E1520" s="47" t="s">
        <v>58</v>
      </c>
      <c r="F1520" s="48" t="n">
        <v>78066.49</v>
      </c>
      <c r="G1520" s="47" t="s">
        <v>65</v>
      </c>
      <c r="H1520" s="47" t="s">
        <v>43</v>
      </c>
      <c r="I1520" s="47" t="s">
        <v>117</v>
      </c>
      <c r="J1520" s="47" t="s">
        <v>28</v>
      </c>
      <c r="K1520" s="47" t="s">
        <v>34</v>
      </c>
    </row>
    <row r="1521" customFormat="false" ht="15" hidden="false" customHeight="false" outlineLevel="0" collapsed="false">
      <c r="A1521" s="0" t="s">
        <v>2479</v>
      </c>
      <c r="B1521" s="0" t="s">
        <v>2480</v>
      </c>
      <c r="D1521" s="46" t="n">
        <v>45844</v>
      </c>
      <c r="E1521" s="47" t="s">
        <v>58</v>
      </c>
      <c r="F1521" s="48" t="n">
        <v>162462.21</v>
      </c>
      <c r="G1521" s="47" t="s">
        <v>68</v>
      </c>
      <c r="H1521" s="47" t="s">
        <v>45</v>
      </c>
      <c r="I1521" s="47" t="s">
        <v>151</v>
      </c>
      <c r="J1521" s="47" t="s">
        <v>28</v>
      </c>
      <c r="K1521" s="47" t="s">
        <v>34</v>
      </c>
    </row>
    <row r="1522" customFormat="false" ht="15" hidden="false" customHeight="false" outlineLevel="0" collapsed="false">
      <c r="A1522" s="0" t="s">
        <v>2481</v>
      </c>
      <c r="B1522" s="0" t="s">
        <v>2195</v>
      </c>
      <c r="C1522" s="0" t="s">
        <v>2482</v>
      </c>
      <c r="D1522" s="46" t="n">
        <v>45913</v>
      </c>
      <c r="E1522" s="47" t="s">
        <v>62</v>
      </c>
      <c r="F1522" s="48" t="n">
        <v>26335.99</v>
      </c>
      <c r="G1522" s="47" t="s">
        <v>65</v>
      </c>
      <c r="H1522" s="47" t="s">
        <v>40</v>
      </c>
      <c r="I1522" s="47" t="s">
        <v>83</v>
      </c>
      <c r="J1522" s="47" t="s">
        <v>28</v>
      </c>
      <c r="K1522" s="47" t="s">
        <v>34</v>
      </c>
    </row>
    <row r="1523" customFormat="false" ht="15" hidden="false" customHeight="false" outlineLevel="0" collapsed="false">
      <c r="A1523" s="0" t="s">
        <v>2483</v>
      </c>
      <c r="B1523" s="0" t="s">
        <v>274</v>
      </c>
      <c r="D1523" s="46" t="n">
        <v>45801</v>
      </c>
      <c r="E1523" s="47" t="s">
        <v>58</v>
      </c>
      <c r="F1523" s="48" t="n">
        <v>10349.73</v>
      </c>
      <c r="G1523" s="47" t="s">
        <v>57</v>
      </c>
      <c r="H1523" s="47" t="s">
        <v>42</v>
      </c>
      <c r="I1523" s="47" t="s">
        <v>137</v>
      </c>
      <c r="J1523" s="47" t="s">
        <v>28</v>
      </c>
      <c r="K1523" s="47" t="s">
        <v>34</v>
      </c>
    </row>
    <row r="1524" customFormat="false" ht="15" hidden="false" customHeight="false" outlineLevel="0" collapsed="false">
      <c r="A1524" s="0" t="s">
        <v>2484</v>
      </c>
      <c r="B1524" s="0" t="s">
        <v>774</v>
      </c>
      <c r="D1524" s="46" t="n">
        <v>46117</v>
      </c>
      <c r="E1524" s="47" t="s">
        <v>53</v>
      </c>
      <c r="F1524" s="48" t="n">
        <v>101948.62</v>
      </c>
      <c r="G1524" s="47" t="s">
        <v>68</v>
      </c>
      <c r="H1524" s="47" t="s">
        <v>47</v>
      </c>
      <c r="I1524" s="47" t="s">
        <v>245</v>
      </c>
      <c r="J1524" s="47" t="s">
        <v>29</v>
      </c>
      <c r="K1524" s="47" t="s">
        <v>34</v>
      </c>
    </row>
    <row r="1525" customFormat="false" ht="15" hidden="false" customHeight="false" outlineLevel="0" collapsed="false">
      <c r="A1525" s="0" t="s">
        <v>2485</v>
      </c>
      <c r="B1525" s="0" t="s">
        <v>921</v>
      </c>
      <c r="D1525" s="46" t="n">
        <v>46007</v>
      </c>
      <c r="E1525" s="47" t="s">
        <v>62</v>
      </c>
      <c r="F1525" s="48" t="n">
        <v>140251.78</v>
      </c>
      <c r="G1525" s="47" t="s">
        <v>53</v>
      </c>
      <c r="H1525" s="47" t="s">
        <v>47</v>
      </c>
      <c r="I1525" s="47" t="s">
        <v>108</v>
      </c>
      <c r="J1525" s="47" t="s">
        <v>28</v>
      </c>
      <c r="K1525" s="47" t="s">
        <v>33</v>
      </c>
    </row>
    <row r="1526" customFormat="false" ht="15" hidden="false" customHeight="false" outlineLevel="0" collapsed="false">
      <c r="A1526" s="0" t="s">
        <v>2486</v>
      </c>
      <c r="B1526" s="0" t="s">
        <v>1957</v>
      </c>
      <c r="D1526" s="46" t="n">
        <v>46205</v>
      </c>
      <c r="E1526" s="47" t="s">
        <v>53</v>
      </c>
      <c r="F1526" s="48" t="n">
        <v>148417.17</v>
      </c>
      <c r="G1526" s="47" t="s">
        <v>65</v>
      </c>
      <c r="H1526" s="47" t="s">
        <v>48</v>
      </c>
      <c r="I1526" s="47" t="s">
        <v>111</v>
      </c>
      <c r="J1526" s="47" t="s">
        <v>28</v>
      </c>
      <c r="K1526" s="47" t="s">
        <v>33</v>
      </c>
    </row>
    <row r="1527" customFormat="false" ht="15" hidden="false" customHeight="false" outlineLevel="0" collapsed="false">
      <c r="A1527" s="0" t="s">
        <v>2487</v>
      </c>
      <c r="B1527" s="0" t="s">
        <v>1246</v>
      </c>
      <c r="D1527" s="46" t="n">
        <v>46102</v>
      </c>
      <c r="E1527" s="47" t="s">
        <v>53</v>
      </c>
      <c r="F1527" s="48" t="n">
        <v>59249.66</v>
      </c>
      <c r="G1527" s="47" t="s">
        <v>65</v>
      </c>
      <c r="H1527" s="47" t="s">
        <v>47</v>
      </c>
      <c r="I1527" s="47" t="s">
        <v>245</v>
      </c>
      <c r="J1527" s="47" t="s">
        <v>29</v>
      </c>
      <c r="K1527" s="47" t="s">
        <v>33</v>
      </c>
    </row>
    <row r="1528" customFormat="false" ht="15" hidden="false" customHeight="false" outlineLevel="0" collapsed="false">
      <c r="A1528" s="0" t="s">
        <v>2488</v>
      </c>
      <c r="B1528" s="0" t="s">
        <v>2267</v>
      </c>
      <c r="D1528" s="46" t="n">
        <v>45996</v>
      </c>
      <c r="E1528" s="47" t="s">
        <v>58</v>
      </c>
      <c r="F1528" s="48" t="n">
        <v>144097.17</v>
      </c>
      <c r="G1528" s="47" t="s">
        <v>65</v>
      </c>
      <c r="H1528" s="47" t="s">
        <v>47</v>
      </c>
      <c r="I1528" s="47" t="s">
        <v>166</v>
      </c>
      <c r="J1528" s="47" t="s">
        <v>29</v>
      </c>
      <c r="K1528" s="47" t="s">
        <v>33</v>
      </c>
    </row>
    <row r="1529" customFormat="false" ht="15" hidden="false" customHeight="false" outlineLevel="0" collapsed="false">
      <c r="A1529" s="0" t="s">
        <v>2489</v>
      </c>
      <c r="B1529" s="0" t="s">
        <v>470</v>
      </c>
      <c r="D1529" s="46" t="n">
        <v>46144</v>
      </c>
      <c r="E1529" s="47" t="s">
        <v>58</v>
      </c>
      <c r="F1529" s="48" t="n">
        <v>78681.79</v>
      </c>
      <c r="G1529" s="47" t="s">
        <v>66</v>
      </c>
      <c r="H1529" s="47" t="s">
        <v>43</v>
      </c>
      <c r="I1529" s="47" t="s">
        <v>117</v>
      </c>
      <c r="J1529" s="47" t="s">
        <v>28</v>
      </c>
      <c r="K1529" s="47" t="s">
        <v>33</v>
      </c>
    </row>
    <row r="1530" customFormat="false" ht="15" hidden="false" customHeight="false" outlineLevel="0" collapsed="false">
      <c r="A1530" s="0" t="s">
        <v>2490</v>
      </c>
      <c r="B1530" s="0" t="s">
        <v>2491</v>
      </c>
      <c r="D1530" s="46" t="n">
        <v>46249</v>
      </c>
      <c r="E1530" s="47" t="s">
        <v>60</v>
      </c>
      <c r="F1530" s="48" t="n">
        <v>130716.85</v>
      </c>
      <c r="G1530" s="47" t="s">
        <v>65</v>
      </c>
      <c r="H1530" s="47" t="s">
        <v>43</v>
      </c>
      <c r="I1530" s="47" t="s">
        <v>102</v>
      </c>
      <c r="J1530" s="47" t="s">
        <v>28</v>
      </c>
      <c r="K1530" s="47" t="s">
        <v>33</v>
      </c>
    </row>
    <row r="1531" customFormat="false" ht="15" hidden="false" customHeight="false" outlineLevel="0" collapsed="false">
      <c r="A1531" s="0" t="s">
        <v>2492</v>
      </c>
      <c r="B1531" s="0" t="s">
        <v>1396</v>
      </c>
      <c r="D1531" s="46" t="n">
        <v>45810</v>
      </c>
      <c r="E1531" s="47" t="s">
        <v>58</v>
      </c>
      <c r="F1531" s="48" t="n">
        <v>197278.74</v>
      </c>
      <c r="G1531" s="47" t="s">
        <v>53</v>
      </c>
      <c r="H1531" s="47" t="s">
        <v>44</v>
      </c>
      <c r="I1531" s="47" t="s">
        <v>132</v>
      </c>
      <c r="J1531" s="47" t="s">
        <v>29</v>
      </c>
      <c r="K1531" s="47" t="s">
        <v>33</v>
      </c>
    </row>
    <row r="1532" customFormat="false" ht="15" hidden="false" customHeight="false" outlineLevel="0" collapsed="false">
      <c r="A1532" s="0" t="s">
        <v>2493</v>
      </c>
      <c r="B1532" s="0" t="s">
        <v>1399</v>
      </c>
      <c r="D1532" s="46" t="n">
        <v>45862</v>
      </c>
      <c r="E1532" s="47" t="s">
        <v>61</v>
      </c>
      <c r="F1532" s="48" t="n">
        <v>38233.67</v>
      </c>
      <c r="G1532" s="47" t="s">
        <v>53</v>
      </c>
      <c r="H1532" s="47" t="s">
        <v>45</v>
      </c>
      <c r="I1532" s="47" t="s">
        <v>217</v>
      </c>
      <c r="J1532" s="47" t="s">
        <v>28</v>
      </c>
      <c r="K1532" s="47" t="s">
        <v>34</v>
      </c>
    </row>
    <row r="1533" customFormat="false" ht="15" hidden="false" customHeight="false" outlineLevel="0" collapsed="false">
      <c r="A1533" s="0" t="s">
        <v>2494</v>
      </c>
      <c r="B1533" s="0" t="s">
        <v>1201</v>
      </c>
      <c r="D1533" s="46" t="n">
        <v>45921</v>
      </c>
      <c r="E1533" s="47" t="s">
        <v>58</v>
      </c>
      <c r="F1533" s="48" t="n">
        <v>49421.17</v>
      </c>
      <c r="G1533" s="47" t="s">
        <v>53</v>
      </c>
      <c r="H1533" s="47" t="s">
        <v>42</v>
      </c>
      <c r="I1533" s="47" t="s">
        <v>137</v>
      </c>
      <c r="J1533" s="47" t="s">
        <v>28</v>
      </c>
      <c r="K1533" s="47" t="s">
        <v>34</v>
      </c>
    </row>
    <row r="1534" customFormat="false" ht="15" hidden="false" customHeight="false" outlineLevel="0" collapsed="false">
      <c r="A1534" s="0" t="s">
        <v>2495</v>
      </c>
      <c r="B1534" s="0" t="s">
        <v>369</v>
      </c>
      <c r="D1534" s="46" t="n">
        <v>45930</v>
      </c>
      <c r="E1534" s="47" t="s">
        <v>58</v>
      </c>
      <c r="F1534" s="48" t="n">
        <v>123179.64</v>
      </c>
      <c r="G1534" s="47" t="s">
        <v>68</v>
      </c>
      <c r="H1534" s="47" t="s">
        <v>46</v>
      </c>
      <c r="I1534" s="47" t="s">
        <v>121</v>
      </c>
      <c r="J1534" s="47" t="s">
        <v>28</v>
      </c>
      <c r="K1534" s="47" t="s">
        <v>33</v>
      </c>
    </row>
    <row r="1535" customFormat="false" ht="15" hidden="false" customHeight="false" outlineLevel="0" collapsed="false">
      <c r="A1535" s="0" t="s">
        <v>2496</v>
      </c>
      <c r="B1535" s="0" t="s">
        <v>2497</v>
      </c>
      <c r="D1535" s="46" t="n">
        <v>45941</v>
      </c>
      <c r="E1535" s="47" t="s">
        <v>59</v>
      </c>
      <c r="F1535" s="48" t="n">
        <v>99031.64</v>
      </c>
      <c r="G1535" s="47" t="s">
        <v>65</v>
      </c>
      <c r="H1535" s="47" t="s">
        <v>44</v>
      </c>
      <c r="I1535" s="47" t="s">
        <v>226</v>
      </c>
      <c r="J1535" s="47" t="s">
        <v>28</v>
      </c>
      <c r="K1535" s="47" t="s">
        <v>33</v>
      </c>
    </row>
    <row r="1536" customFormat="false" ht="15" hidden="false" customHeight="false" outlineLevel="0" collapsed="false">
      <c r="A1536" s="0" t="s">
        <v>2498</v>
      </c>
      <c r="B1536" s="0" t="s">
        <v>762</v>
      </c>
      <c r="D1536" s="46" t="n">
        <v>45830</v>
      </c>
      <c r="E1536" s="47" t="s">
        <v>59</v>
      </c>
      <c r="F1536" s="48" t="n">
        <v>71165.99</v>
      </c>
      <c r="G1536" s="47" t="s">
        <v>57</v>
      </c>
      <c r="H1536" s="47" t="s">
        <v>43</v>
      </c>
      <c r="I1536" s="47" t="s">
        <v>201</v>
      </c>
      <c r="J1536" s="47" t="s">
        <v>28</v>
      </c>
      <c r="K1536" s="47" t="s">
        <v>33</v>
      </c>
    </row>
    <row r="1537" customFormat="false" ht="15" hidden="false" customHeight="false" outlineLevel="0" collapsed="false">
      <c r="A1537" s="0" t="s">
        <v>2499</v>
      </c>
      <c r="B1537" s="0" t="s">
        <v>540</v>
      </c>
      <c r="D1537" s="46" t="n">
        <v>45932</v>
      </c>
      <c r="E1537" s="47" t="s">
        <v>61</v>
      </c>
      <c r="F1537" s="48" t="n">
        <v>164985.02</v>
      </c>
      <c r="G1537" s="47" t="s">
        <v>57</v>
      </c>
      <c r="H1537" s="47" t="s">
        <v>39</v>
      </c>
      <c r="I1537" s="47" t="s">
        <v>145</v>
      </c>
      <c r="J1537" s="47" t="s">
        <v>28</v>
      </c>
      <c r="K1537" s="47" t="s">
        <v>33</v>
      </c>
    </row>
    <row r="1538" customFormat="false" ht="15" hidden="false" customHeight="false" outlineLevel="0" collapsed="false">
      <c r="A1538" s="0" t="s">
        <v>2500</v>
      </c>
      <c r="B1538" s="0" t="s">
        <v>637</v>
      </c>
      <c r="D1538" s="46" t="n">
        <v>45803</v>
      </c>
      <c r="E1538" s="47" t="s">
        <v>61</v>
      </c>
      <c r="F1538" s="48" t="n">
        <v>33799.15</v>
      </c>
      <c r="G1538" s="47" t="s">
        <v>65</v>
      </c>
      <c r="H1538" s="47" t="s">
        <v>42</v>
      </c>
      <c r="I1538" s="47" t="s">
        <v>398</v>
      </c>
      <c r="J1538" s="47" t="s">
        <v>28</v>
      </c>
      <c r="K1538" s="47" t="s">
        <v>34</v>
      </c>
    </row>
    <row r="1539" customFormat="false" ht="15" hidden="false" customHeight="false" outlineLevel="0" collapsed="false">
      <c r="A1539" s="0" t="s">
        <v>2501</v>
      </c>
      <c r="B1539" s="0" t="s">
        <v>1260</v>
      </c>
      <c r="D1539" s="46" t="n">
        <v>46183</v>
      </c>
      <c r="E1539" s="47" t="s">
        <v>61</v>
      </c>
      <c r="F1539" s="48" t="n">
        <v>79125.3</v>
      </c>
      <c r="G1539" s="47" t="s">
        <v>66</v>
      </c>
      <c r="H1539" s="47" t="s">
        <v>46</v>
      </c>
      <c r="I1539" s="47" t="s">
        <v>121</v>
      </c>
      <c r="J1539" s="47" t="s">
        <v>28</v>
      </c>
      <c r="K1539" s="47" t="s">
        <v>34</v>
      </c>
    </row>
    <row r="1540" customFormat="false" ht="15" hidden="false" customHeight="false" outlineLevel="0" collapsed="false">
      <c r="A1540" s="0" t="s">
        <v>2502</v>
      </c>
      <c r="B1540" s="0" t="s">
        <v>725</v>
      </c>
      <c r="D1540" s="46" t="n">
        <v>45949</v>
      </c>
      <c r="E1540" s="47" t="s">
        <v>60</v>
      </c>
      <c r="F1540" s="48" t="n">
        <v>123164.91</v>
      </c>
      <c r="G1540" s="47" t="s">
        <v>57</v>
      </c>
      <c r="H1540" s="47" t="s">
        <v>41</v>
      </c>
      <c r="I1540" s="47" t="s">
        <v>272</v>
      </c>
      <c r="J1540" s="47" t="s">
        <v>30</v>
      </c>
      <c r="K1540" s="47" t="s">
        <v>34</v>
      </c>
    </row>
    <row r="1541" customFormat="false" ht="15" hidden="false" customHeight="false" outlineLevel="0" collapsed="false">
      <c r="A1541" s="0" t="s">
        <v>2503</v>
      </c>
      <c r="B1541" s="0" t="s">
        <v>621</v>
      </c>
      <c r="D1541" s="46" t="n">
        <v>45779</v>
      </c>
      <c r="E1541" s="47" t="s">
        <v>55</v>
      </c>
      <c r="F1541" s="48" t="n">
        <v>11812.1</v>
      </c>
      <c r="G1541" s="47" t="s">
        <v>65</v>
      </c>
      <c r="H1541" s="47" t="s">
        <v>44</v>
      </c>
      <c r="I1541" s="47" t="s">
        <v>226</v>
      </c>
      <c r="J1541" s="47" t="s">
        <v>28</v>
      </c>
      <c r="K1541" s="47" t="s">
        <v>33</v>
      </c>
    </row>
    <row r="1542" customFormat="false" ht="15" hidden="false" customHeight="false" outlineLevel="0" collapsed="false">
      <c r="A1542" s="0" t="s">
        <v>2504</v>
      </c>
      <c r="B1542" s="0" t="s">
        <v>1556</v>
      </c>
      <c r="D1542" s="46" t="n">
        <v>46189</v>
      </c>
      <c r="E1542" s="47" t="s">
        <v>58</v>
      </c>
      <c r="F1542" s="48" t="n">
        <v>7741.8</v>
      </c>
      <c r="G1542" s="47" t="s">
        <v>53</v>
      </c>
      <c r="H1542" s="47" t="s">
        <v>47</v>
      </c>
      <c r="I1542" s="47" t="s">
        <v>166</v>
      </c>
      <c r="J1542" s="47" t="s">
        <v>28</v>
      </c>
      <c r="K1542" s="47" t="s">
        <v>33</v>
      </c>
    </row>
    <row r="1543" customFormat="false" ht="15" hidden="false" customHeight="false" outlineLevel="0" collapsed="false">
      <c r="A1543" s="0" t="s">
        <v>2505</v>
      </c>
      <c r="B1543" s="0" t="s">
        <v>352</v>
      </c>
      <c r="C1543" s="0" t="s">
        <v>2168</v>
      </c>
      <c r="D1543" s="46" t="n">
        <v>45847</v>
      </c>
      <c r="E1543" s="47" t="s">
        <v>53</v>
      </c>
      <c r="F1543" s="48" t="n">
        <v>59055.05</v>
      </c>
      <c r="G1543" s="47" t="s">
        <v>66</v>
      </c>
      <c r="H1543" s="47" t="s">
        <v>45</v>
      </c>
      <c r="I1543" s="47" t="s">
        <v>217</v>
      </c>
      <c r="J1543" s="47" t="s">
        <v>28</v>
      </c>
      <c r="K1543" s="47" t="s">
        <v>34</v>
      </c>
    </row>
    <row r="1544" customFormat="false" ht="15" hidden="false" customHeight="false" outlineLevel="0" collapsed="false">
      <c r="A1544" s="0" t="s">
        <v>2506</v>
      </c>
      <c r="B1544" s="0" t="s">
        <v>2507</v>
      </c>
      <c r="D1544" s="46" t="n">
        <v>45892</v>
      </c>
      <c r="E1544" s="47" t="s">
        <v>61</v>
      </c>
      <c r="F1544" s="48" t="n">
        <v>12808.78</v>
      </c>
      <c r="G1544" s="47" t="s">
        <v>53</v>
      </c>
      <c r="H1544" s="47" t="s">
        <v>39</v>
      </c>
      <c r="I1544" s="47" t="s">
        <v>145</v>
      </c>
      <c r="J1544" s="47" t="s">
        <v>28</v>
      </c>
      <c r="K1544" s="47" t="s">
        <v>33</v>
      </c>
    </row>
    <row r="1545" customFormat="false" ht="15" hidden="false" customHeight="false" outlineLevel="0" collapsed="false">
      <c r="A1545" s="0" t="s">
        <v>2508</v>
      </c>
      <c r="B1545" s="0" t="s">
        <v>299</v>
      </c>
      <c r="D1545" s="46" t="n">
        <v>46082</v>
      </c>
      <c r="E1545" s="47" t="s">
        <v>59</v>
      </c>
      <c r="F1545" s="48" t="n">
        <v>176446.47</v>
      </c>
      <c r="G1545" s="47" t="s">
        <v>65</v>
      </c>
      <c r="H1545" s="47" t="s">
        <v>48</v>
      </c>
      <c r="I1545" s="47" t="s">
        <v>212</v>
      </c>
      <c r="J1545" s="47" t="s">
        <v>28</v>
      </c>
      <c r="K1545" s="47" t="s">
        <v>34</v>
      </c>
    </row>
    <row r="1546" customFormat="false" ht="15" hidden="false" customHeight="false" outlineLevel="0" collapsed="false">
      <c r="A1546" s="0" t="s">
        <v>2509</v>
      </c>
      <c r="B1546" s="0" t="s">
        <v>2510</v>
      </c>
      <c r="D1546" s="46" t="n">
        <v>45942</v>
      </c>
      <c r="E1546" s="47" t="s">
        <v>58</v>
      </c>
      <c r="F1546" s="48" t="n">
        <v>128718.68</v>
      </c>
      <c r="G1546" s="47" t="s">
        <v>57</v>
      </c>
      <c r="H1546" s="47" t="s">
        <v>46</v>
      </c>
      <c r="I1546" s="47" t="s">
        <v>121</v>
      </c>
      <c r="J1546" s="47" t="s">
        <v>28</v>
      </c>
      <c r="K1546" s="47" t="s">
        <v>33</v>
      </c>
    </row>
    <row r="1547" customFormat="false" ht="15" hidden="false" customHeight="false" outlineLevel="0" collapsed="false">
      <c r="A1547" s="0" t="s">
        <v>2511</v>
      </c>
      <c r="B1547" s="0" t="s">
        <v>936</v>
      </c>
      <c r="D1547" s="46" t="n">
        <v>45911</v>
      </c>
      <c r="E1547" s="47" t="s">
        <v>62</v>
      </c>
      <c r="F1547" s="48" t="n">
        <v>27311.91</v>
      </c>
      <c r="G1547" s="47" t="s">
        <v>57</v>
      </c>
      <c r="H1547" s="47" t="s">
        <v>47</v>
      </c>
      <c r="I1547" s="47" t="s">
        <v>245</v>
      </c>
      <c r="J1547" s="47" t="s">
        <v>28</v>
      </c>
      <c r="K1547" s="47" t="s">
        <v>33</v>
      </c>
    </row>
    <row r="1548" customFormat="false" ht="15" hidden="false" customHeight="false" outlineLevel="0" collapsed="false">
      <c r="A1548" s="0" t="s">
        <v>2512</v>
      </c>
      <c r="B1548" s="0" t="s">
        <v>2201</v>
      </c>
      <c r="D1548" s="46" t="n">
        <v>46100</v>
      </c>
      <c r="E1548" s="47" t="s">
        <v>58</v>
      </c>
      <c r="F1548" s="48" t="n">
        <v>154856.82</v>
      </c>
      <c r="G1548" s="47" t="s">
        <v>57</v>
      </c>
      <c r="H1548" s="47" t="s">
        <v>46</v>
      </c>
      <c r="I1548" s="47" t="s">
        <v>121</v>
      </c>
      <c r="J1548" s="47" t="s">
        <v>28</v>
      </c>
      <c r="K1548" s="47" t="s">
        <v>33</v>
      </c>
    </row>
    <row r="1549" customFormat="false" ht="15" hidden="false" customHeight="false" outlineLevel="0" collapsed="false">
      <c r="A1549" s="0" t="s">
        <v>2513</v>
      </c>
      <c r="B1549" s="0" t="s">
        <v>2514</v>
      </c>
      <c r="D1549" s="46" t="n">
        <v>46201</v>
      </c>
      <c r="E1549" s="47" t="s">
        <v>53</v>
      </c>
      <c r="F1549" s="48" t="n">
        <v>168586.15</v>
      </c>
      <c r="G1549" s="47" t="s">
        <v>57</v>
      </c>
      <c r="H1549" s="47" t="s">
        <v>46</v>
      </c>
      <c r="I1549" s="47" t="s">
        <v>148</v>
      </c>
      <c r="J1549" s="47" t="s">
        <v>28</v>
      </c>
      <c r="K1549" s="47" t="s">
        <v>33</v>
      </c>
    </row>
    <row r="1550" customFormat="false" ht="15" hidden="false" customHeight="false" outlineLevel="0" collapsed="false">
      <c r="A1550" s="0" t="s">
        <v>2515</v>
      </c>
      <c r="B1550" s="0" t="s">
        <v>250</v>
      </c>
      <c r="D1550" s="46" t="n">
        <v>46083</v>
      </c>
      <c r="E1550" s="47" t="s">
        <v>61</v>
      </c>
      <c r="F1550" s="48" t="n">
        <v>49514.07</v>
      </c>
      <c r="G1550" s="47" t="s">
        <v>57</v>
      </c>
      <c r="H1550" s="47" t="s">
        <v>39</v>
      </c>
      <c r="I1550" s="47" t="s">
        <v>177</v>
      </c>
      <c r="J1550" s="47" t="s">
        <v>28</v>
      </c>
      <c r="K1550" s="47" t="s">
        <v>33</v>
      </c>
    </row>
    <row r="1551" customFormat="false" ht="15" hidden="false" customHeight="false" outlineLevel="0" collapsed="false">
      <c r="A1551" s="0" t="s">
        <v>2516</v>
      </c>
      <c r="B1551" s="0" t="s">
        <v>299</v>
      </c>
      <c r="D1551" s="46" t="n">
        <v>46146</v>
      </c>
      <c r="E1551" s="47" t="s">
        <v>58</v>
      </c>
      <c r="F1551" s="48" t="n">
        <v>8167.14</v>
      </c>
      <c r="G1551" s="47" t="s">
        <v>57</v>
      </c>
      <c r="H1551" s="47" t="s">
        <v>48</v>
      </c>
      <c r="I1551" s="47" t="s">
        <v>212</v>
      </c>
      <c r="J1551" s="47" t="s">
        <v>28</v>
      </c>
      <c r="K1551" s="47" t="s">
        <v>34</v>
      </c>
    </row>
    <row r="1552" customFormat="false" ht="15" hidden="false" customHeight="false" outlineLevel="0" collapsed="false">
      <c r="A1552" s="0" t="s">
        <v>2517</v>
      </c>
      <c r="B1552" s="0" t="s">
        <v>1201</v>
      </c>
      <c r="D1552" s="46" t="n">
        <v>45704</v>
      </c>
      <c r="E1552" s="47" t="s">
        <v>53</v>
      </c>
      <c r="F1552" s="48" t="n">
        <v>55120.47</v>
      </c>
      <c r="G1552" s="47" t="s">
        <v>66</v>
      </c>
      <c r="H1552" s="47" t="s">
        <v>42</v>
      </c>
      <c r="I1552" s="47" t="s">
        <v>137</v>
      </c>
      <c r="J1552" s="47" t="s">
        <v>29</v>
      </c>
      <c r="K1552" s="47" t="s">
        <v>34</v>
      </c>
    </row>
    <row r="1553" customFormat="false" ht="15" hidden="false" customHeight="false" outlineLevel="0" collapsed="false">
      <c r="A1553" s="0" t="s">
        <v>2518</v>
      </c>
      <c r="B1553" s="0" t="s">
        <v>297</v>
      </c>
      <c r="C1553" s="0" t="s">
        <v>1331</v>
      </c>
      <c r="D1553" s="46" t="n">
        <v>46049</v>
      </c>
      <c r="E1553" s="47" t="s">
        <v>53</v>
      </c>
      <c r="F1553" s="48" t="n">
        <v>71501.91</v>
      </c>
      <c r="G1553" s="47" t="s">
        <v>68</v>
      </c>
      <c r="H1553" s="47" t="s">
        <v>39</v>
      </c>
      <c r="I1553" s="47" t="s">
        <v>145</v>
      </c>
      <c r="J1553" s="47" t="s">
        <v>28</v>
      </c>
      <c r="K1553" s="47" t="s">
        <v>33</v>
      </c>
    </row>
    <row r="1554" customFormat="false" ht="15" hidden="false" customHeight="false" outlineLevel="0" collapsed="false">
      <c r="A1554" s="0" t="s">
        <v>2519</v>
      </c>
      <c r="B1554" s="0" t="s">
        <v>1392</v>
      </c>
      <c r="D1554" s="46" t="n">
        <v>46123</v>
      </c>
      <c r="E1554" s="47" t="s">
        <v>60</v>
      </c>
      <c r="F1554" s="48" t="n">
        <v>115656.04</v>
      </c>
      <c r="G1554" s="47" t="s">
        <v>57</v>
      </c>
      <c r="H1554" s="47" t="s">
        <v>47</v>
      </c>
      <c r="I1554" s="47" t="s">
        <v>166</v>
      </c>
      <c r="J1554" s="47" t="s">
        <v>28</v>
      </c>
      <c r="K1554" s="47" t="s">
        <v>33</v>
      </c>
    </row>
    <row r="1555" customFormat="false" ht="15" hidden="false" customHeight="false" outlineLevel="0" collapsed="false">
      <c r="A1555" s="0" t="s">
        <v>2520</v>
      </c>
      <c r="B1555" s="0" t="s">
        <v>426</v>
      </c>
      <c r="D1555" s="46" t="n">
        <v>45721</v>
      </c>
      <c r="E1555" s="47" t="s">
        <v>55</v>
      </c>
      <c r="F1555" s="48" t="n">
        <v>52235.65</v>
      </c>
      <c r="G1555" s="47" t="s">
        <v>65</v>
      </c>
      <c r="H1555" s="47" t="s">
        <v>39</v>
      </c>
      <c r="I1555" s="47" t="s">
        <v>98</v>
      </c>
      <c r="J1555" s="47" t="s">
        <v>28</v>
      </c>
      <c r="K1555" s="47" t="s">
        <v>33</v>
      </c>
    </row>
    <row r="1556" customFormat="false" ht="15" hidden="false" customHeight="false" outlineLevel="0" collapsed="false">
      <c r="A1556" s="0" t="s">
        <v>2521</v>
      </c>
      <c r="B1556" s="0" t="s">
        <v>123</v>
      </c>
      <c r="D1556" s="46" t="n">
        <v>45986</v>
      </c>
      <c r="E1556" s="47" t="s">
        <v>58</v>
      </c>
      <c r="F1556" s="48" t="n">
        <v>88539.45</v>
      </c>
      <c r="G1556" s="47" t="s">
        <v>65</v>
      </c>
      <c r="H1556" s="47" t="s">
        <v>39</v>
      </c>
      <c r="I1556" s="47" t="s">
        <v>98</v>
      </c>
      <c r="J1556" s="47" t="s">
        <v>28</v>
      </c>
      <c r="K1556" s="47" t="s">
        <v>34</v>
      </c>
    </row>
    <row r="1557" customFormat="false" ht="15" hidden="false" customHeight="false" outlineLevel="0" collapsed="false">
      <c r="A1557" s="0" t="s">
        <v>2522</v>
      </c>
      <c r="B1557" s="0" t="s">
        <v>2523</v>
      </c>
      <c r="D1557" s="46" t="n">
        <v>45781</v>
      </c>
      <c r="E1557" s="47" t="s">
        <v>59</v>
      </c>
      <c r="F1557" s="48" t="n">
        <v>14037.23</v>
      </c>
      <c r="G1557" s="47" t="s">
        <v>65</v>
      </c>
      <c r="H1557" s="47" t="s">
        <v>45</v>
      </c>
      <c r="I1557" s="47" t="s">
        <v>217</v>
      </c>
      <c r="J1557" s="47" t="s">
        <v>28</v>
      </c>
      <c r="K1557" s="47" t="s">
        <v>33</v>
      </c>
    </row>
    <row r="1558" customFormat="false" ht="15" hidden="false" customHeight="false" outlineLevel="0" collapsed="false">
      <c r="A1558" s="0" t="s">
        <v>2524</v>
      </c>
      <c r="B1558" s="0" t="s">
        <v>195</v>
      </c>
      <c r="D1558" s="46" t="n">
        <v>46167</v>
      </c>
      <c r="E1558" s="47" t="s">
        <v>60</v>
      </c>
      <c r="F1558" s="48" t="n">
        <v>80569.7</v>
      </c>
      <c r="G1558" s="47" t="s">
        <v>53</v>
      </c>
      <c r="H1558" s="47" t="s">
        <v>39</v>
      </c>
      <c r="I1558" s="47" t="s">
        <v>145</v>
      </c>
      <c r="J1558" s="47" t="s">
        <v>28</v>
      </c>
      <c r="K1558" s="47" t="s">
        <v>34</v>
      </c>
    </row>
    <row r="1559" customFormat="false" ht="15" hidden="false" customHeight="false" outlineLevel="0" collapsed="false">
      <c r="A1559" s="0" t="s">
        <v>2525</v>
      </c>
      <c r="B1559" s="0" t="s">
        <v>891</v>
      </c>
      <c r="D1559" s="46" t="n">
        <v>46031</v>
      </c>
      <c r="E1559" s="47" t="s">
        <v>60</v>
      </c>
      <c r="F1559" s="48" t="n">
        <v>40965.29</v>
      </c>
      <c r="G1559" s="47" t="s">
        <v>57</v>
      </c>
      <c r="H1559" s="47" t="s">
        <v>46</v>
      </c>
      <c r="I1559" s="47" t="s">
        <v>121</v>
      </c>
      <c r="J1559" s="47" t="s">
        <v>28</v>
      </c>
      <c r="K1559" s="47" t="s">
        <v>34</v>
      </c>
    </row>
    <row r="1560" customFormat="false" ht="15" hidden="false" customHeight="false" outlineLevel="0" collapsed="false">
      <c r="A1560" s="0" t="s">
        <v>2526</v>
      </c>
      <c r="B1560" s="0" t="s">
        <v>2338</v>
      </c>
      <c r="D1560" s="46" t="n">
        <v>46182</v>
      </c>
      <c r="E1560" s="47" t="s">
        <v>53</v>
      </c>
      <c r="F1560" s="48" t="n">
        <v>177693.61</v>
      </c>
      <c r="G1560" s="47" t="s">
        <v>66</v>
      </c>
      <c r="H1560" s="47" t="s">
        <v>39</v>
      </c>
      <c r="I1560" s="47" t="s">
        <v>145</v>
      </c>
      <c r="J1560" s="47" t="s">
        <v>28</v>
      </c>
      <c r="K1560" s="47" t="s">
        <v>33</v>
      </c>
    </row>
    <row r="1561" customFormat="false" ht="15" hidden="false" customHeight="false" outlineLevel="0" collapsed="false">
      <c r="A1561" s="0" t="s">
        <v>2527</v>
      </c>
      <c r="B1561" s="0" t="s">
        <v>2018</v>
      </c>
      <c r="D1561" s="46" t="n">
        <v>46097</v>
      </c>
      <c r="E1561" s="47" t="s">
        <v>59</v>
      </c>
      <c r="F1561" s="48" t="n">
        <v>15920.81</v>
      </c>
      <c r="G1561" s="47" t="s">
        <v>65</v>
      </c>
      <c r="H1561" s="47" t="s">
        <v>42</v>
      </c>
      <c r="I1561" s="47" t="s">
        <v>398</v>
      </c>
      <c r="J1561" s="47" t="s">
        <v>28</v>
      </c>
      <c r="K1561" s="47" t="s">
        <v>33</v>
      </c>
    </row>
    <row r="1562" customFormat="false" ht="15" hidden="false" customHeight="false" outlineLevel="0" collapsed="false">
      <c r="A1562" s="0" t="s">
        <v>2528</v>
      </c>
      <c r="B1562" s="0" t="s">
        <v>1694</v>
      </c>
      <c r="D1562" s="46" t="n">
        <v>45930</v>
      </c>
      <c r="E1562" s="47" t="s">
        <v>53</v>
      </c>
      <c r="F1562" s="48" t="n">
        <v>26460.11</v>
      </c>
      <c r="G1562" s="47" t="s">
        <v>53</v>
      </c>
      <c r="H1562" s="47" t="s">
        <v>39</v>
      </c>
      <c r="I1562" s="47" t="s">
        <v>177</v>
      </c>
      <c r="J1562" s="47" t="s">
        <v>28</v>
      </c>
      <c r="K1562" s="47" t="s">
        <v>33</v>
      </c>
    </row>
    <row r="1563" customFormat="false" ht="15" hidden="false" customHeight="false" outlineLevel="0" collapsed="false">
      <c r="A1563" s="0" t="s">
        <v>2529</v>
      </c>
      <c r="B1563" s="0" t="s">
        <v>2255</v>
      </c>
      <c r="D1563" s="46" t="n">
        <v>46126</v>
      </c>
      <c r="E1563" s="47" t="s">
        <v>55</v>
      </c>
      <c r="F1563" s="48" t="n">
        <v>109894.97</v>
      </c>
      <c r="G1563" s="47" t="s">
        <v>57</v>
      </c>
      <c r="H1563" s="47" t="s">
        <v>46</v>
      </c>
      <c r="I1563" s="47" t="s">
        <v>242</v>
      </c>
      <c r="J1563" s="47" t="s">
        <v>30</v>
      </c>
      <c r="K1563" s="47" t="s">
        <v>34</v>
      </c>
    </row>
    <row r="1564" customFormat="false" ht="15" hidden="false" customHeight="false" outlineLevel="0" collapsed="false">
      <c r="A1564" s="0" t="s">
        <v>2530</v>
      </c>
      <c r="B1564" s="0" t="s">
        <v>2531</v>
      </c>
      <c r="D1564" s="46" t="n">
        <v>45736</v>
      </c>
      <c r="E1564" s="47" t="s">
        <v>59</v>
      </c>
      <c r="F1564" s="48" t="n">
        <v>159679.37</v>
      </c>
      <c r="G1564" s="47" t="s">
        <v>65</v>
      </c>
      <c r="H1564" s="47" t="s">
        <v>48</v>
      </c>
      <c r="I1564" s="47" t="s">
        <v>212</v>
      </c>
      <c r="J1564" s="47" t="s">
        <v>28</v>
      </c>
      <c r="K1564" s="47" t="s">
        <v>33</v>
      </c>
    </row>
    <row r="1565" customFormat="false" ht="15" hidden="false" customHeight="false" outlineLevel="0" collapsed="false">
      <c r="A1565" s="0" t="s">
        <v>2532</v>
      </c>
      <c r="B1565" s="0" t="s">
        <v>758</v>
      </c>
      <c r="D1565" s="46" t="n">
        <v>46055</v>
      </c>
      <c r="E1565" s="47" t="s">
        <v>62</v>
      </c>
      <c r="F1565" s="48" t="n">
        <v>169976.26</v>
      </c>
      <c r="G1565" s="47" t="s">
        <v>65</v>
      </c>
      <c r="H1565" s="47" t="s">
        <v>39</v>
      </c>
      <c r="I1565" s="47" t="s">
        <v>177</v>
      </c>
      <c r="J1565" s="47" t="s">
        <v>28</v>
      </c>
      <c r="K1565" s="47" t="s">
        <v>34</v>
      </c>
    </row>
    <row r="1566" customFormat="false" ht="15" hidden="false" customHeight="false" outlineLevel="0" collapsed="false">
      <c r="A1566" s="0" t="s">
        <v>2533</v>
      </c>
      <c r="B1566" s="0" t="s">
        <v>812</v>
      </c>
      <c r="D1566" s="46" t="n">
        <v>45727</v>
      </c>
      <c r="E1566" s="47" t="s">
        <v>59</v>
      </c>
      <c r="F1566" s="48" t="n">
        <v>92518.15</v>
      </c>
      <c r="G1566" s="47" t="s">
        <v>53</v>
      </c>
      <c r="H1566" s="47" t="s">
        <v>43</v>
      </c>
      <c r="I1566" s="47" t="s">
        <v>201</v>
      </c>
      <c r="J1566" s="47" t="s">
        <v>28</v>
      </c>
      <c r="K1566" s="47" t="s">
        <v>34</v>
      </c>
    </row>
    <row r="1567" customFormat="false" ht="15" hidden="false" customHeight="false" outlineLevel="0" collapsed="false">
      <c r="A1567" s="0" t="s">
        <v>2534</v>
      </c>
      <c r="B1567" s="0" t="s">
        <v>1802</v>
      </c>
      <c r="C1567" s="0" t="s">
        <v>2535</v>
      </c>
      <c r="D1567" s="46" t="n">
        <v>45973</v>
      </c>
      <c r="E1567" s="47" t="s">
        <v>53</v>
      </c>
      <c r="F1567" s="48" t="n">
        <v>21355.06</v>
      </c>
      <c r="G1567" s="47" t="s">
        <v>68</v>
      </c>
      <c r="H1567" s="47" t="s">
        <v>43</v>
      </c>
      <c r="I1567" s="47" t="s">
        <v>201</v>
      </c>
      <c r="J1567" s="47" t="s">
        <v>28</v>
      </c>
      <c r="K1567" s="47" t="s">
        <v>33</v>
      </c>
    </row>
    <row r="1568" customFormat="false" ht="15" hidden="false" customHeight="false" outlineLevel="0" collapsed="false">
      <c r="A1568" s="0" t="s">
        <v>2536</v>
      </c>
      <c r="B1568" s="0" t="s">
        <v>611</v>
      </c>
      <c r="D1568" s="46" t="n">
        <v>45953</v>
      </c>
      <c r="E1568" s="47" t="s">
        <v>60</v>
      </c>
      <c r="F1568" s="48" t="n">
        <v>120522.37</v>
      </c>
      <c r="G1568" s="47" t="s">
        <v>53</v>
      </c>
      <c r="H1568" s="47" t="s">
        <v>48</v>
      </c>
      <c r="I1568" s="47" t="s">
        <v>111</v>
      </c>
      <c r="J1568" s="47" t="s">
        <v>28</v>
      </c>
      <c r="K1568" s="47" t="s">
        <v>34</v>
      </c>
    </row>
    <row r="1569" customFormat="false" ht="15" hidden="false" customHeight="false" outlineLevel="0" collapsed="false">
      <c r="A1569" s="0" t="s">
        <v>2537</v>
      </c>
      <c r="B1569" s="0" t="s">
        <v>1361</v>
      </c>
      <c r="D1569" s="46" t="n">
        <v>45905</v>
      </c>
      <c r="E1569" s="47" t="s">
        <v>58</v>
      </c>
      <c r="F1569" s="48" t="n">
        <v>184447.79</v>
      </c>
      <c r="G1569" s="47" t="s">
        <v>65</v>
      </c>
      <c r="H1569" s="47" t="s">
        <v>46</v>
      </c>
      <c r="I1569" s="47" t="s">
        <v>148</v>
      </c>
      <c r="J1569" s="47" t="s">
        <v>29</v>
      </c>
      <c r="K1569" s="47" t="s">
        <v>33</v>
      </c>
    </row>
    <row r="1570" customFormat="false" ht="15" hidden="false" customHeight="false" outlineLevel="0" collapsed="false">
      <c r="A1570" s="0" t="s">
        <v>2538</v>
      </c>
      <c r="B1570" s="0" t="s">
        <v>782</v>
      </c>
      <c r="D1570" s="46" t="n">
        <v>46012</v>
      </c>
      <c r="E1570" s="47" t="s">
        <v>53</v>
      </c>
      <c r="F1570" s="48" t="n">
        <v>158488.88</v>
      </c>
      <c r="G1570" s="47" t="s">
        <v>57</v>
      </c>
      <c r="H1570" s="47" t="s">
        <v>39</v>
      </c>
      <c r="I1570" s="47" t="s">
        <v>98</v>
      </c>
      <c r="J1570" s="47" t="s">
        <v>28</v>
      </c>
      <c r="K1570" s="47" t="s">
        <v>34</v>
      </c>
    </row>
    <row r="1571" customFormat="false" ht="15" hidden="false" customHeight="false" outlineLevel="0" collapsed="false">
      <c r="A1571" s="0" t="s">
        <v>2539</v>
      </c>
      <c r="B1571" s="0" t="s">
        <v>820</v>
      </c>
      <c r="D1571" s="46" t="n">
        <v>46027</v>
      </c>
      <c r="E1571" s="47" t="s">
        <v>59</v>
      </c>
      <c r="F1571" s="48" t="n">
        <v>124021.62</v>
      </c>
      <c r="G1571" s="47" t="s">
        <v>53</v>
      </c>
      <c r="H1571" s="47" t="s">
        <v>44</v>
      </c>
      <c r="I1571" s="47" t="s">
        <v>132</v>
      </c>
      <c r="J1571" s="47" t="s">
        <v>28</v>
      </c>
      <c r="K1571" s="47" t="s">
        <v>34</v>
      </c>
    </row>
    <row r="1572" customFormat="false" ht="15" hidden="false" customHeight="false" outlineLevel="0" collapsed="false">
      <c r="A1572" s="0" t="s">
        <v>2540</v>
      </c>
      <c r="B1572" s="0" t="s">
        <v>1264</v>
      </c>
      <c r="D1572" s="46" t="n">
        <v>46278</v>
      </c>
      <c r="E1572" s="47" t="s">
        <v>58</v>
      </c>
      <c r="F1572" s="48" t="n">
        <v>122582.04</v>
      </c>
      <c r="G1572" s="47" t="s">
        <v>57</v>
      </c>
      <c r="H1572" s="47" t="s">
        <v>43</v>
      </c>
      <c r="I1572" s="47" t="s">
        <v>117</v>
      </c>
      <c r="J1572" s="47" t="s">
        <v>28</v>
      </c>
      <c r="K1572" s="47" t="s">
        <v>34</v>
      </c>
    </row>
    <row r="1573" customFormat="false" ht="15" hidden="false" customHeight="false" outlineLevel="0" collapsed="false">
      <c r="A1573" s="0" t="s">
        <v>2541</v>
      </c>
      <c r="B1573" s="0" t="s">
        <v>645</v>
      </c>
      <c r="D1573" s="46" t="n">
        <v>45776</v>
      </c>
      <c r="E1573" s="47" t="s">
        <v>62</v>
      </c>
      <c r="F1573" s="48" t="n">
        <v>19627.88</v>
      </c>
      <c r="G1573" s="47" t="s">
        <v>53</v>
      </c>
      <c r="H1573" s="47" t="s">
        <v>43</v>
      </c>
      <c r="I1573" s="47" t="s">
        <v>201</v>
      </c>
      <c r="J1573" s="47" t="s">
        <v>28</v>
      </c>
      <c r="K1573" s="47" t="s">
        <v>33</v>
      </c>
    </row>
    <row r="1574" customFormat="false" ht="15" hidden="false" customHeight="false" outlineLevel="0" collapsed="false">
      <c r="A1574" s="0" t="s">
        <v>2542</v>
      </c>
      <c r="B1574" s="0" t="s">
        <v>585</v>
      </c>
      <c r="D1574" s="46" t="n">
        <v>45918</v>
      </c>
      <c r="E1574" s="47" t="s">
        <v>55</v>
      </c>
      <c r="F1574" s="48" t="n">
        <v>152254.27</v>
      </c>
      <c r="G1574" s="47" t="s">
        <v>68</v>
      </c>
      <c r="H1574" s="47" t="s">
        <v>41</v>
      </c>
      <c r="I1574" s="47" t="s">
        <v>293</v>
      </c>
      <c r="J1574" s="47" t="s">
        <v>28</v>
      </c>
      <c r="K1574" s="47" t="s">
        <v>34</v>
      </c>
    </row>
    <row r="1575" customFormat="false" ht="15" hidden="false" customHeight="false" outlineLevel="0" collapsed="false">
      <c r="A1575" s="0" t="s">
        <v>2543</v>
      </c>
      <c r="B1575" s="0" t="s">
        <v>1066</v>
      </c>
      <c r="D1575" s="46" t="n">
        <v>45891</v>
      </c>
      <c r="E1575" s="47" t="s">
        <v>58</v>
      </c>
      <c r="F1575" s="48" t="n">
        <v>123938.99</v>
      </c>
      <c r="G1575" s="47" t="s">
        <v>66</v>
      </c>
      <c r="H1575" s="47" t="s">
        <v>39</v>
      </c>
      <c r="I1575" s="47" t="s">
        <v>98</v>
      </c>
      <c r="J1575" s="47" t="s">
        <v>28</v>
      </c>
      <c r="K1575" s="47" t="s">
        <v>33</v>
      </c>
    </row>
    <row r="1576" customFormat="false" ht="15" hidden="false" customHeight="false" outlineLevel="0" collapsed="false">
      <c r="A1576" s="0" t="s">
        <v>2544</v>
      </c>
      <c r="B1576" s="0" t="s">
        <v>1146</v>
      </c>
      <c r="C1576" s="0" t="s">
        <v>2545</v>
      </c>
      <c r="D1576" s="46" t="n">
        <v>46091</v>
      </c>
      <c r="E1576" s="47" t="s">
        <v>62</v>
      </c>
      <c r="F1576" s="48" t="n">
        <v>47878.88</v>
      </c>
      <c r="G1576" s="47" t="s">
        <v>68</v>
      </c>
      <c r="H1576" s="47" t="s">
        <v>47</v>
      </c>
      <c r="I1576" s="47" t="s">
        <v>166</v>
      </c>
      <c r="J1576" s="47" t="s">
        <v>28</v>
      </c>
      <c r="K1576" s="47" t="s">
        <v>34</v>
      </c>
    </row>
    <row r="1577" customFormat="false" ht="15" hidden="false" customHeight="false" outlineLevel="0" collapsed="false">
      <c r="A1577" s="0" t="s">
        <v>2546</v>
      </c>
      <c r="B1577" s="0" t="s">
        <v>544</v>
      </c>
      <c r="D1577" s="46" t="n">
        <v>46006</v>
      </c>
      <c r="E1577" s="47" t="s">
        <v>62</v>
      </c>
      <c r="F1577" s="48" t="n">
        <v>23398.89</v>
      </c>
      <c r="G1577" s="47" t="s">
        <v>65</v>
      </c>
      <c r="H1577" s="47" t="s">
        <v>44</v>
      </c>
      <c r="I1577" s="47" t="s">
        <v>80</v>
      </c>
      <c r="J1577" s="47" t="s">
        <v>28</v>
      </c>
      <c r="K1577" s="47" t="s">
        <v>34</v>
      </c>
    </row>
    <row r="1578" customFormat="false" ht="15" hidden="false" customHeight="false" outlineLevel="0" collapsed="false">
      <c r="A1578" s="0" t="s">
        <v>2547</v>
      </c>
      <c r="B1578" s="0" t="s">
        <v>1009</v>
      </c>
      <c r="C1578" s="0" t="s">
        <v>2548</v>
      </c>
      <c r="D1578" s="46" t="n">
        <v>45876</v>
      </c>
      <c r="E1578" s="47" t="s">
        <v>58</v>
      </c>
      <c r="F1578" s="48" t="n">
        <v>75841.39</v>
      </c>
      <c r="G1578" s="47" t="s">
        <v>66</v>
      </c>
      <c r="H1578" s="47" t="s">
        <v>47</v>
      </c>
      <c r="I1578" s="47" t="s">
        <v>166</v>
      </c>
      <c r="J1578" s="47" t="s">
        <v>28</v>
      </c>
      <c r="K1578" s="47" t="s">
        <v>33</v>
      </c>
    </row>
    <row r="1579" customFormat="false" ht="15" hidden="false" customHeight="false" outlineLevel="0" collapsed="false">
      <c r="A1579" s="0" t="s">
        <v>2549</v>
      </c>
      <c r="B1579" s="0" t="s">
        <v>1366</v>
      </c>
      <c r="D1579" s="46" t="n">
        <v>45829</v>
      </c>
      <c r="E1579" s="47" t="s">
        <v>59</v>
      </c>
      <c r="F1579" s="48" t="n">
        <v>153425.46</v>
      </c>
      <c r="G1579" s="47" t="s">
        <v>66</v>
      </c>
      <c r="H1579" s="47" t="s">
        <v>46</v>
      </c>
      <c r="I1579" s="47" t="s">
        <v>148</v>
      </c>
      <c r="J1579" s="47" t="s">
        <v>28</v>
      </c>
      <c r="K1579" s="47" t="s">
        <v>34</v>
      </c>
    </row>
    <row r="1580" customFormat="false" ht="15" hidden="false" customHeight="false" outlineLevel="0" collapsed="false">
      <c r="A1580" s="0" t="s">
        <v>2550</v>
      </c>
      <c r="B1580" s="0" t="s">
        <v>2450</v>
      </c>
      <c r="D1580" s="46" t="n">
        <v>45846</v>
      </c>
      <c r="E1580" s="47" t="s">
        <v>60</v>
      </c>
      <c r="F1580" s="48" t="n">
        <v>100284.34</v>
      </c>
      <c r="G1580" s="47" t="s">
        <v>57</v>
      </c>
      <c r="H1580" s="47" t="s">
        <v>43</v>
      </c>
      <c r="I1580" s="47" t="s">
        <v>102</v>
      </c>
      <c r="J1580" s="47" t="s">
        <v>30</v>
      </c>
      <c r="K1580" s="47" t="s">
        <v>33</v>
      </c>
    </row>
    <row r="1581" customFormat="false" ht="15" hidden="false" customHeight="false" outlineLevel="0" collapsed="false">
      <c r="A1581" s="0" t="s">
        <v>2551</v>
      </c>
      <c r="B1581" s="0" t="s">
        <v>457</v>
      </c>
      <c r="D1581" s="46" t="n">
        <v>46240</v>
      </c>
      <c r="E1581" s="47" t="s">
        <v>62</v>
      </c>
      <c r="F1581" s="48" t="n">
        <v>174325.04</v>
      </c>
      <c r="G1581" s="47" t="s">
        <v>68</v>
      </c>
      <c r="H1581" s="47" t="s">
        <v>39</v>
      </c>
      <c r="I1581" s="47" t="s">
        <v>177</v>
      </c>
      <c r="J1581" s="47" t="s">
        <v>30</v>
      </c>
      <c r="K1581" s="47" t="s">
        <v>33</v>
      </c>
    </row>
    <row r="1582" customFormat="false" ht="15" hidden="false" customHeight="false" outlineLevel="0" collapsed="false">
      <c r="A1582" s="0" t="s">
        <v>2552</v>
      </c>
      <c r="B1582" s="0" t="s">
        <v>1340</v>
      </c>
      <c r="D1582" s="46" t="n">
        <v>45673</v>
      </c>
      <c r="E1582" s="47" t="s">
        <v>55</v>
      </c>
      <c r="F1582" s="48" t="n">
        <v>154501.51</v>
      </c>
      <c r="G1582" s="47" t="s">
        <v>66</v>
      </c>
      <c r="H1582" s="47" t="s">
        <v>39</v>
      </c>
      <c r="I1582" s="47" t="s">
        <v>98</v>
      </c>
      <c r="J1582" s="47" t="s">
        <v>28</v>
      </c>
      <c r="K1582" s="47" t="s">
        <v>33</v>
      </c>
    </row>
    <row r="1583" customFormat="false" ht="15" hidden="false" customHeight="false" outlineLevel="0" collapsed="false">
      <c r="A1583" s="0" t="s">
        <v>2553</v>
      </c>
      <c r="B1583" s="0" t="s">
        <v>1986</v>
      </c>
      <c r="D1583" s="46" t="n">
        <v>45739</v>
      </c>
      <c r="E1583" s="47" t="s">
        <v>53</v>
      </c>
      <c r="F1583" s="48" t="n">
        <v>18821.89</v>
      </c>
      <c r="G1583" s="47" t="s">
        <v>66</v>
      </c>
      <c r="H1583" s="47" t="s">
        <v>48</v>
      </c>
      <c r="I1583" s="47" t="s">
        <v>111</v>
      </c>
      <c r="J1583" s="47" t="s">
        <v>28</v>
      </c>
      <c r="K1583" s="47" t="s">
        <v>34</v>
      </c>
    </row>
    <row r="1584" customFormat="false" ht="15" hidden="false" customHeight="false" outlineLevel="0" collapsed="false">
      <c r="A1584" s="0" t="s">
        <v>2554</v>
      </c>
      <c r="B1584" s="0" t="s">
        <v>575</v>
      </c>
      <c r="D1584" s="46" t="n">
        <v>46238</v>
      </c>
      <c r="E1584" s="47" t="s">
        <v>59</v>
      </c>
      <c r="F1584" s="48" t="n">
        <v>141883.8</v>
      </c>
      <c r="G1584" s="47" t="s">
        <v>66</v>
      </c>
      <c r="H1584" s="47" t="s">
        <v>45</v>
      </c>
      <c r="I1584" s="47" t="s">
        <v>217</v>
      </c>
      <c r="J1584" s="47" t="s">
        <v>28</v>
      </c>
      <c r="K1584" s="47" t="s">
        <v>34</v>
      </c>
    </row>
    <row r="1585" customFormat="false" ht="15" hidden="false" customHeight="false" outlineLevel="0" collapsed="false">
      <c r="A1585" s="0" t="s">
        <v>2555</v>
      </c>
      <c r="B1585" s="0" t="s">
        <v>134</v>
      </c>
      <c r="D1585" s="46" t="n">
        <v>45996</v>
      </c>
      <c r="E1585" s="47" t="s">
        <v>61</v>
      </c>
      <c r="F1585" s="48" t="n">
        <v>154828.66</v>
      </c>
      <c r="G1585" s="47" t="s">
        <v>57</v>
      </c>
      <c r="H1585" s="47" t="s">
        <v>48</v>
      </c>
      <c r="I1585" s="47" t="s">
        <v>114</v>
      </c>
      <c r="J1585" s="47" t="s">
        <v>28</v>
      </c>
      <c r="K1585" s="47" t="s">
        <v>33</v>
      </c>
    </row>
    <row r="1586" customFormat="false" ht="15" hidden="false" customHeight="false" outlineLevel="0" collapsed="false">
      <c r="A1586" s="0" t="s">
        <v>2556</v>
      </c>
      <c r="B1586" s="0" t="s">
        <v>2557</v>
      </c>
      <c r="C1586" s="0" t="s">
        <v>2558</v>
      </c>
      <c r="D1586" s="46" t="n">
        <v>45815</v>
      </c>
      <c r="E1586" s="47" t="s">
        <v>53</v>
      </c>
      <c r="F1586" s="48" t="n">
        <v>175893</v>
      </c>
      <c r="G1586" s="47" t="s">
        <v>57</v>
      </c>
      <c r="H1586" s="47" t="s">
        <v>43</v>
      </c>
      <c r="I1586" s="47" t="s">
        <v>117</v>
      </c>
      <c r="J1586" s="47" t="s">
        <v>28</v>
      </c>
      <c r="K1586" s="47" t="s">
        <v>33</v>
      </c>
    </row>
    <row r="1587" customFormat="false" ht="15" hidden="false" customHeight="false" outlineLevel="0" collapsed="false">
      <c r="A1587" s="0" t="s">
        <v>2559</v>
      </c>
      <c r="B1587" s="0" t="s">
        <v>1541</v>
      </c>
      <c r="D1587" s="46" t="n">
        <v>46023</v>
      </c>
      <c r="E1587" s="47" t="s">
        <v>61</v>
      </c>
      <c r="F1587" s="48" t="n">
        <v>93470.51</v>
      </c>
      <c r="G1587" s="47" t="s">
        <v>66</v>
      </c>
      <c r="H1587" s="47" t="s">
        <v>48</v>
      </c>
      <c r="I1587" s="47" t="s">
        <v>212</v>
      </c>
      <c r="J1587" s="47" t="s">
        <v>28</v>
      </c>
      <c r="K1587" s="47" t="s">
        <v>34</v>
      </c>
    </row>
    <row r="1588" customFormat="false" ht="15" hidden="false" customHeight="false" outlineLevel="0" collapsed="false">
      <c r="A1588" s="0" t="s">
        <v>2560</v>
      </c>
      <c r="B1588" s="0" t="s">
        <v>1826</v>
      </c>
      <c r="D1588" s="46" t="n">
        <v>46207</v>
      </c>
      <c r="E1588" s="47" t="s">
        <v>53</v>
      </c>
      <c r="F1588" s="48" t="n">
        <v>99214.91</v>
      </c>
      <c r="G1588" s="47" t="s">
        <v>53</v>
      </c>
      <c r="H1588" s="47" t="s">
        <v>43</v>
      </c>
      <c r="I1588" s="47" t="s">
        <v>102</v>
      </c>
      <c r="J1588" s="47" t="s">
        <v>28</v>
      </c>
      <c r="K1588" s="47" t="s">
        <v>33</v>
      </c>
    </row>
    <row r="1589" customFormat="false" ht="15" hidden="false" customHeight="false" outlineLevel="0" collapsed="false">
      <c r="A1589" s="0" t="s">
        <v>2561</v>
      </c>
      <c r="B1589" s="0" t="s">
        <v>2255</v>
      </c>
      <c r="D1589" s="46" t="n">
        <v>45982</v>
      </c>
      <c r="E1589" s="47" t="s">
        <v>61</v>
      </c>
      <c r="F1589" s="48" t="n">
        <v>155252.74</v>
      </c>
      <c r="G1589" s="47" t="s">
        <v>65</v>
      </c>
      <c r="H1589" s="47" t="s">
        <v>46</v>
      </c>
      <c r="I1589" s="47" t="s">
        <v>242</v>
      </c>
      <c r="J1589" s="47" t="s">
        <v>28</v>
      </c>
      <c r="K1589" s="47" t="s">
        <v>34</v>
      </c>
    </row>
    <row r="1590" customFormat="false" ht="15" hidden="false" customHeight="false" outlineLevel="0" collapsed="false">
      <c r="A1590" s="0" t="s">
        <v>2562</v>
      </c>
      <c r="B1590" s="0" t="s">
        <v>2563</v>
      </c>
      <c r="D1590" s="46" t="n">
        <v>46248</v>
      </c>
      <c r="E1590" s="47" t="s">
        <v>53</v>
      </c>
      <c r="F1590" s="48" t="n">
        <v>191779.11</v>
      </c>
      <c r="G1590" s="47" t="s">
        <v>53</v>
      </c>
      <c r="H1590" s="47" t="s">
        <v>47</v>
      </c>
      <c r="I1590" s="47" t="s">
        <v>166</v>
      </c>
      <c r="J1590" s="47" t="s">
        <v>28</v>
      </c>
      <c r="K1590" s="47" t="s">
        <v>33</v>
      </c>
    </row>
    <row r="1591" customFormat="false" ht="15" hidden="false" customHeight="false" outlineLevel="0" collapsed="false">
      <c r="A1591" s="0" t="s">
        <v>2564</v>
      </c>
      <c r="B1591" s="0" t="s">
        <v>147</v>
      </c>
      <c r="D1591" s="46" t="n">
        <v>45923</v>
      </c>
      <c r="E1591" s="47" t="s">
        <v>59</v>
      </c>
      <c r="F1591" s="48" t="n">
        <v>111154.91</v>
      </c>
      <c r="G1591" s="47" t="s">
        <v>66</v>
      </c>
      <c r="H1591" s="47" t="s">
        <v>46</v>
      </c>
      <c r="I1591" s="47" t="s">
        <v>148</v>
      </c>
      <c r="J1591" s="47" t="s">
        <v>28</v>
      </c>
      <c r="K1591" s="47" t="s">
        <v>33</v>
      </c>
    </row>
    <row r="1592" customFormat="false" ht="15" hidden="false" customHeight="false" outlineLevel="0" collapsed="false">
      <c r="A1592" s="0" t="s">
        <v>2565</v>
      </c>
      <c r="B1592" s="0" t="s">
        <v>295</v>
      </c>
      <c r="D1592" s="46" t="n">
        <v>46185</v>
      </c>
      <c r="E1592" s="47" t="s">
        <v>62</v>
      </c>
      <c r="F1592" s="48" t="n">
        <v>65834.92</v>
      </c>
      <c r="G1592" s="47" t="s">
        <v>53</v>
      </c>
      <c r="H1592" s="47" t="s">
        <v>42</v>
      </c>
      <c r="I1592" s="47" t="s">
        <v>137</v>
      </c>
      <c r="J1592" s="47" t="s">
        <v>28</v>
      </c>
      <c r="K1592" s="47" t="s">
        <v>33</v>
      </c>
    </row>
    <row r="1593" customFormat="false" ht="15" hidden="false" customHeight="false" outlineLevel="0" collapsed="false">
      <c r="A1593" s="0" t="s">
        <v>2566</v>
      </c>
      <c r="B1593" s="0" t="s">
        <v>590</v>
      </c>
      <c r="D1593" s="46" t="n">
        <v>45984</v>
      </c>
      <c r="E1593" s="47" t="s">
        <v>60</v>
      </c>
      <c r="F1593" s="48" t="n">
        <v>77478.04</v>
      </c>
      <c r="G1593" s="47" t="s">
        <v>68</v>
      </c>
      <c r="H1593" s="47" t="s">
        <v>44</v>
      </c>
      <c r="I1593" s="47" t="s">
        <v>226</v>
      </c>
      <c r="J1593" s="47" t="s">
        <v>28</v>
      </c>
      <c r="K1593" s="47" t="s">
        <v>34</v>
      </c>
    </row>
    <row r="1594" customFormat="false" ht="15" hidden="false" customHeight="false" outlineLevel="0" collapsed="false">
      <c r="A1594" s="0" t="s">
        <v>2567</v>
      </c>
      <c r="B1594" s="0" t="s">
        <v>524</v>
      </c>
      <c r="C1594" s="0" t="s">
        <v>525</v>
      </c>
      <c r="D1594" s="46" t="n">
        <v>45792</v>
      </c>
      <c r="E1594" s="47" t="s">
        <v>55</v>
      </c>
      <c r="F1594" s="48" t="n">
        <v>96221.46</v>
      </c>
      <c r="G1594" s="47" t="s">
        <v>53</v>
      </c>
      <c r="H1594" s="47" t="s">
        <v>41</v>
      </c>
      <c r="I1594" s="47" t="s">
        <v>272</v>
      </c>
      <c r="J1594" s="47" t="s">
        <v>28</v>
      </c>
      <c r="K1594" s="47" t="s">
        <v>34</v>
      </c>
    </row>
    <row r="1595" customFormat="false" ht="15" hidden="false" customHeight="false" outlineLevel="0" collapsed="false">
      <c r="A1595" s="0" t="s">
        <v>2568</v>
      </c>
      <c r="B1595" s="0" t="s">
        <v>2058</v>
      </c>
      <c r="D1595" s="46" t="n">
        <v>45884</v>
      </c>
      <c r="E1595" s="47" t="s">
        <v>55</v>
      </c>
      <c r="F1595" s="48" t="n">
        <v>51636.35</v>
      </c>
      <c r="G1595" s="47" t="s">
        <v>68</v>
      </c>
      <c r="H1595" s="47" t="s">
        <v>44</v>
      </c>
      <c r="I1595" s="47" t="s">
        <v>80</v>
      </c>
      <c r="J1595" s="47" t="s">
        <v>28</v>
      </c>
      <c r="K1595" s="47" t="s">
        <v>33</v>
      </c>
    </row>
    <row r="1596" customFormat="false" ht="15" hidden="false" customHeight="false" outlineLevel="0" collapsed="false">
      <c r="A1596" s="0" t="s">
        <v>2569</v>
      </c>
      <c r="B1596" s="0" t="s">
        <v>2570</v>
      </c>
      <c r="D1596" s="46" t="n">
        <v>45898</v>
      </c>
      <c r="E1596" s="47" t="s">
        <v>53</v>
      </c>
      <c r="F1596" s="48" t="n">
        <v>177375.83</v>
      </c>
      <c r="G1596" s="47" t="s">
        <v>65</v>
      </c>
      <c r="H1596" s="47" t="s">
        <v>46</v>
      </c>
      <c r="I1596" s="47" t="s">
        <v>148</v>
      </c>
      <c r="J1596" s="47" t="s">
        <v>29</v>
      </c>
      <c r="K1596" s="47" t="s">
        <v>34</v>
      </c>
    </row>
    <row r="1597" customFormat="false" ht="15" hidden="false" customHeight="false" outlineLevel="0" collapsed="false">
      <c r="A1597" s="0" t="s">
        <v>2571</v>
      </c>
      <c r="B1597" s="0" t="s">
        <v>2097</v>
      </c>
      <c r="D1597" s="46" t="n">
        <v>45757</v>
      </c>
      <c r="E1597" s="47" t="s">
        <v>59</v>
      </c>
      <c r="F1597" s="48" t="n">
        <v>40071.47</v>
      </c>
      <c r="G1597" s="47" t="s">
        <v>65</v>
      </c>
      <c r="H1597" s="47" t="s">
        <v>40</v>
      </c>
      <c r="I1597" s="47" t="s">
        <v>89</v>
      </c>
      <c r="J1597" s="47" t="s">
        <v>28</v>
      </c>
      <c r="K1597" s="47" t="s">
        <v>33</v>
      </c>
    </row>
    <row r="1598" customFormat="false" ht="15" hidden="false" customHeight="false" outlineLevel="0" collapsed="false">
      <c r="A1598" s="0" t="s">
        <v>2572</v>
      </c>
      <c r="B1598" s="0" t="s">
        <v>1193</v>
      </c>
      <c r="D1598" s="46" t="n">
        <v>45980</v>
      </c>
      <c r="E1598" s="47" t="s">
        <v>61</v>
      </c>
      <c r="F1598" s="48" t="n">
        <v>74587.59</v>
      </c>
      <c r="G1598" s="47" t="s">
        <v>66</v>
      </c>
      <c r="H1598" s="47" t="s">
        <v>45</v>
      </c>
      <c r="I1598" s="47" t="s">
        <v>95</v>
      </c>
      <c r="J1598" s="47" t="s">
        <v>28</v>
      </c>
      <c r="K1598" s="47" t="s">
        <v>34</v>
      </c>
    </row>
    <row r="1599" customFormat="false" ht="15" hidden="false" customHeight="false" outlineLevel="0" collapsed="false">
      <c r="A1599" s="0" t="s">
        <v>2573</v>
      </c>
      <c r="B1599" s="0" t="s">
        <v>686</v>
      </c>
      <c r="D1599" s="46" t="n">
        <v>45753</v>
      </c>
      <c r="E1599" s="47" t="s">
        <v>53</v>
      </c>
      <c r="F1599" s="48" t="n">
        <v>82993.13</v>
      </c>
      <c r="G1599" s="47" t="s">
        <v>65</v>
      </c>
      <c r="H1599" s="47" t="s">
        <v>48</v>
      </c>
      <c r="I1599" s="47" t="s">
        <v>111</v>
      </c>
      <c r="J1599" s="47" t="s">
        <v>28</v>
      </c>
      <c r="K1599" s="47" t="s">
        <v>33</v>
      </c>
    </row>
    <row r="1600" customFormat="false" ht="15" hidden="false" customHeight="false" outlineLevel="0" collapsed="false">
      <c r="A1600" s="0" t="s">
        <v>2574</v>
      </c>
      <c r="B1600" s="0" t="s">
        <v>1578</v>
      </c>
      <c r="C1600" s="0" t="s">
        <v>2575</v>
      </c>
      <c r="D1600" s="46" t="n">
        <v>46190</v>
      </c>
      <c r="E1600" s="47" t="s">
        <v>60</v>
      </c>
      <c r="F1600" s="48" t="n">
        <v>72916.56</v>
      </c>
      <c r="G1600" s="47" t="s">
        <v>53</v>
      </c>
      <c r="H1600" s="47" t="s">
        <v>46</v>
      </c>
      <c r="I1600" s="47" t="s">
        <v>121</v>
      </c>
      <c r="J1600" s="47" t="s">
        <v>28</v>
      </c>
      <c r="K1600" s="47" t="s">
        <v>33</v>
      </c>
    </row>
    <row r="1601" customFormat="false" ht="15" hidden="false" customHeight="false" outlineLevel="0" collapsed="false">
      <c r="A1601" s="0" t="s">
        <v>2576</v>
      </c>
      <c r="B1601" s="0" t="s">
        <v>2510</v>
      </c>
      <c r="D1601" s="46" t="n">
        <v>46080</v>
      </c>
      <c r="E1601" s="47" t="s">
        <v>60</v>
      </c>
      <c r="F1601" s="48" t="n">
        <v>14611.43</v>
      </c>
      <c r="G1601" s="47" t="s">
        <v>66</v>
      </c>
      <c r="H1601" s="47" t="s">
        <v>46</v>
      </c>
      <c r="I1601" s="47" t="s">
        <v>121</v>
      </c>
      <c r="J1601" s="47" t="s">
        <v>28</v>
      </c>
      <c r="K1601" s="47" t="s">
        <v>33</v>
      </c>
    </row>
    <row r="1602" customFormat="false" ht="15" hidden="false" customHeight="false" outlineLevel="0" collapsed="false">
      <c r="A1602" s="0" t="s">
        <v>2577</v>
      </c>
      <c r="B1602" s="0" t="s">
        <v>2578</v>
      </c>
      <c r="D1602" s="46" t="n">
        <v>45797</v>
      </c>
      <c r="E1602" s="47" t="s">
        <v>62</v>
      </c>
      <c r="F1602" s="48" t="n">
        <v>97676.06</v>
      </c>
      <c r="G1602" s="47" t="s">
        <v>57</v>
      </c>
      <c r="H1602" s="47" t="s">
        <v>39</v>
      </c>
      <c r="I1602" s="47" t="s">
        <v>177</v>
      </c>
      <c r="J1602" s="47" t="s">
        <v>28</v>
      </c>
      <c r="K1602" s="47" t="s">
        <v>33</v>
      </c>
    </row>
    <row r="1603" customFormat="false" ht="15" hidden="false" customHeight="false" outlineLevel="0" collapsed="false">
      <c r="A1603" s="0" t="s">
        <v>2579</v>
      </c>
      <c r="B1603" s="0" t="s">
        <v>2580</v>
      </c>
      <c r="D1603" s="46" t="n">
        <v>45682</v>
      </c>
      <c r="E1603" s="47" t="s">
        <v>55</v>
      </c>
      <c r="F1603" s="48" t="n">
        <v>23722.66</v>
      </c>
      <c r="G1603" s="47" t="s">
        <v>68</v>
      </c>
      <c r="H1603" s="47" t="s">
        <v>48</v>
      </c>
      <c r="I1603" s="47" t="s">
        <v>111</v>
      </c>
      <c r="J1603" s="47" t="s">
        <v>28</v>
      </c>
      <c r="K1603" s="47" t="s">
        <v>34</v>
      </c>
    </row>
    <row r="1604" customFormat="false" ht="15" hidden="false" customHeight="false" outlineLevel="0" collapsed="false">
      <c r="A1604" s="0" t="s">
        <v>2581</v>
      </c>
      <c r="B1604" s="0" t="s">
        <v>129</v>
      </c>
      <c r="D1604" s="46" t="n">
        <v>45936</v>
      </c>
      <c r="E1604" s="47" t="s">
        <v>60</v>
      </c>
      <c r="F1604" s="48" t="n">
        <v>169332.48</v>
      </c>
      <c r="G1604" s="47" t="s">
        <v>57</v>
      </c>
      <c r="H1604" s="47" t="s">
        <v>45</v>
      </c>
      <c r="I1604" s="47" t="s">
        <v>95</v>
      </c>
      <c r="J1604" s="47" t="s">
        <v>28</v>
      </c>
      <c r="K1604" s="47" t="s">
        <v>33</v>
      </c>
    </row>
    <row r="1605" customFormat="false" ht="15" hidden="false" customHeight="false" outlineLevel="0" collapsed="false">
      <c r="A1605" s="0" t="s">
        <v>2582</v>
      </c>
      <c r="B1605" s="0" t="s">
        <v>2583</v>
      </c>
      <c r="D1605" s="46" t="n">
        <v>46005</v>
      </c>
      <c r="E1605" s="47" t="s">
        <v>60</v>
      </c>
      <c r="F1605" s="48" t="n">
        <v>87345.89</v>
      </c>
      <c r="G1605" s="47" t="s">
        <v>65</v>
      </c>
      <c r="H1605" s="47" t="s">
        <v>45</v>
      </c>
      <c r="I1605" s="47" t="s">
        <v>151</v>
      </c>
      <c r="J1605" s="47" t="s">
        <v>28</v>
      </c>
      <c r="K1605" s="47" t="s">
        <v>33</v>
      </c>
    </row>
    <row r="1606" customFormat="false" ht="15" hidden="false" customHeight="false" outlineLevel="0" collapsed="false">
      <c r="A1606" s="0" t="s">
        <v>2584</v>
      </c>
      <c r="B1606" s="0" t="s">
        <v>2180</v>
      </c>
      <c r="D1606" s="46" t="n">
        <v>45806</v>
      </c>
      <c r="E1606" s="47" t="s">
        <v>55</v>
      </c>
      <c r="F1606" s="48" t="n">
        <v>195551</v>
      </c>
      <c r="G1606" s="47" t="s">
        <v>68</v>
      </c>
      <c r="H1606" s="47" t="s">
        <v>47</v>
      </c>
      <c r="I1606" s="47" t="s">
        <v>166</v>
      </c>
      <c r="J1606" s="47" t="s">
        <v>28</v>
      </c>
      <c r="K1606" s="47" t="s">
        <v>34</v>
      </c>
    </row>
    <row r="1607" customFormat="false" ht="15" hidden="false" customHeight="false" outlineLevel="0" collapsed="false">
      <c r="A1607" s="0" t="s">
        <v>2585</v>
      </c>
      <c r="B1607" s="0" t="s">
        <v>2586</v>
      </c>
      <c r="C1607" s="0" t="s">
        <v>2587</v>
      </c>
      <c r="D1607" s="46" t="n">
        <v>45783</v>
      </c>
      <c r="E1607" s="47" t="s">
        <v>58</v>
      </c>
      <c r="F1607" s="48" t="n">
        <v>19511.89</v>
      </c>
      <c r="G1607" s="47" t="s">
        <v>57</v>
      </c>
      <c r="H1607" s="47" t="s">
        <v>44</v>
      </c>
      <c r="I1607" s="47" t="s">
        <v>226</v>
      </c>
      <c r="J1607" s="47" t="s">
        <v>28</v>
      </c>
      <c r="K1607" s="47" t="s">
        <v>33</v>
      </c>
    </row>
    <row r="1608" customFormat="false" ht="15" hidden="false" customHeight="false" outlineLevel="0" collapsed="false">
      <c r="A1608" s="0" t="s">
        <v>2588</v>
      </c>
      <c r="B1608" s="0" t="s">
        <v>2589</v>
      </c>
      <c r="D1608" s="46" t="n">
        <v>45782</v>
      </c>
      <c r="E1608" s="47" t="s">
        <v>59</v>
      </c>
      <c r="F1608" s="48" t="n">
        <v>165541.08</v>
      </c>
      <c r="G1608" s="47" t="s">
        <v>53</v>
      </c>
      <c r="H1608" s="47" t="s">
        <v>42</v>
      </c>
      <c r="I1608" s="47" t="s">
        <v>398</v>
      </c>
      <c r="J1608" s="47" t="s">
        <v>28</v>
      </c>
      <c r="K1608" s="47" t="s">
        <v>33</v>
      </c>
    </row>
    <row r="1609" customFormat="false" ht="15" hidden="false" customHeight="false" outlineLevel="0" collapsed="false">
      <c r="A1609" s="0" t="s">
        <v>2590</v>
      </c>
      <c r="B1609" s="0" t="s">
        <v>1788</v>
      </c>
      <c r="D1609" s="46" t="n">
        <v>45689</v>
      </c>
      <c r="E1609" s="47" t="s">
        <v>55</v>
      </c>
      <c r="F1609" s="48" t="n">
        <v>940.55</v>
      </c>
      <c r="G1609" s="47" t="s">
        <v>65</v>
      </c>
      <c r="H1609" s="47" t="s">
        <v>47</v>
      </c>
      <c r="I1609" s="47" t="s">
        <v>108</v>
      </c>
      <c r="J1609" s="47" t="s">
        <v>28</v>
      </c>
      <c r="K1609" s="47" t="s">
        <v>33</v>
      </c>
    </row>
    <row r="1610" customFormat="false" ht="15" hidden="false" customHeight="false" outlineLevel="0" collapsed="false">
      <c r="A1610" s="0" t="s">
        <v>2591</v>
      </c>
      <c r="B1610" s="0" t="s">
        <v>2592</v>
      </c>
      <c r="D1610" s="46" t="n">
        <v>45978</v>
      </c>
      <c r="E1610" s="47" t="s">
        <v>60</v>
      </c>
      <c r="F1610" s="48" t="n">
        <v>23131.43</v>
      </c>
      <c r="G1610" s="47" t="s">
        <v>65</v>
      </c>
      <c r="H1610" s="47" t="s">
        <v>44</v>
      </c>
      <c r="I1610" s="47" t="s">
        <v>226</v>
      </c>
      <c r="J1610" s="47" t="s">
        <v>28</v>
      </c>
      <c r="K1610" s="47" t="s">
        <v>33</v>
      </c>
    </row>
    <row r="1611" customFormat="false" ht="15" hidden="false" customHeight="false" outlineLevel="0" collapsed="false">
      <c r="A1611" s="0" t="s">
        <v>2593</v>
      </c>
      <c r="B1611" s="0" t="s">
        <v>203</v>
      </c>
      <c r="D1611" s="46" t="n">
        <v>45672</v>
      </c>
      <c r="E1611" s="47" t="s">
        <v>58</v>
      </c>
      <c r="F1611" s="48" t="n">
        <v>73098.94</v>
      </c>
      <c r="G1611" s="47" t="s">
        <v>68</v>
      </c>
      <c r="H1611" s="47" t="s">
        <v>39</v>
      </c>
      <c r="I1611" s="47" t="s">
        <v>177</v>
      </c>
      <c r="J1611" s="47" t="s">
        <v>28</v>
      </c>
      <c r="K1611" s="47" t="s">
        <v>34</v>
      </c>
    </row>
    <row r="1612" customFormat="false" ht="15" hidden="false" customHeight="false" outlineLevel="0" collapsed="false">
      <c r="A1612" s="0" t="s">
        <v>2594</v>
      </c>
      <c r="B1612" s="0" t="s">
        <v>2595</v>
      </c>
      <c r="D1612" s="46" t="n">
        <v>45853</v>
      </c>
      <c r="E1612" s="47" t="s">
        <v>53</v>
      </c>
      <c r="F1612" s="48" t="n">
        <v>6661.16</v>
      </c>
      <c r="G1612" s="47" t="s">
        <v>66</v>
      </c>
      <c r="H1612" s="47" t="s">
        <v>39</v>
      </c>
      <c r="I1612" s="47" t="s">
        <v>98</v>
      </c>
      <c r="J1612" s="47" t="s">
        <v>28</v>
      </c>
      <c r="K1612" s="47" t="s">
        <v>34</v>
      </c>
    </row>
    <row r="1613" customFormat="false" ht="15" hidden="false" customHeight="false" outlineLevel="0" collapsed="false">
      <c r="A1613" s="0" t="s">
        <v>2596</v>
      </c>
      <c r="B1613" s="0" t="s">
        <v>808</v>
      </c>
      <c r="D1613" s="46" t="n">
        <v>46292</v>
      </c>
      <c r="E1613" s="47" t="s">
        <v>61</v>
      </c>
      <c r="F1613" s="48" t="n">
        <v>30019.34</v>
      </c>
      <c r="G1613" s="47" t="s">
        <v>65</v>
      </c>
      <c r="H1613" s="47" t="s">
        <v>44</v>
      </c>
      <c r="I1613" s="47" t="s">
        <v>80</v>
      </c>
      <c r="J1613" s="47" t="s">
        <v>29</v>
      </c>
      <c r="K1613" s="47" t="s">
        <v>33</v>
      </c>
    </row>
    <row r="1614" customFormat="false" ht="15" hidden="false" customHeight="false" outlineLevel="0" collapsed="false">
      <c r="A1614" s="0" t="s">
        <v>2597</v>
      </c>
      <c r="B1614" s="0" t="s">
        <v>277</v>
      </c>
      <c r="D1614" s="46" t="n">
        <v>46015</v>
      </c>
      <c r="E1614" s="47" t="s">
        <v>58</v>
      </c>
      <c r="F1614" s="48" t="n">
        <v>143882.01</v>
      </c>
      <c r="G1614" s="47" t="s">
        <v>53</v>
      </c>
      <c r="H1614" s="47" t="s">
        <v>47</v>
      </c>
      <c r="I1614" s="47" t="s">
        <v>166</v>
      </c>
      <c r="J1614" s="47" t="s">
        <v>28</v>
      </c>
      <c r="K1614" s="47" t="s">
        <v>34</v>
      </c>
    </row>
    <row r="1615" customFormat="false" ht="15" hidden="false" customHeight="false" outlineLevel="0" collapsed="false">
      <c r="A1615" s="0" t="s">
        <v>2598</v>
      </c>
      <c r="B1615" s="0" t="s">
        <v>376</v>
      </c>
      <c r="D1615" s="46" t="n">
        <v>46144</v>
      </c>
      <c r="E1615" s="47" t="s">
        <v>61</v>
      </c>
      <c r="F1615" s="48" t="n">
        <v>131360.37</v>
      </c>
      <c r="G1615" s="47" t="s">
        <v>65</v>
      </c>
      <c r="H1615" s="47" t="s">
        <v>44</v>
      </c>
      <c r="I1615" s="47" t="s">
        <v>80</v>
      </c>
      <c r="J1615" s="47" t="s">
        <v>28</v>
      </c>
      <c r="K1615" s="47" t="s">
        <v>34</v>
      </c>
    </row>
    <row r="1616" customFormat="false" ht="15" hidden="false" customHeight="false" outlineLevel="0" collapsed="false">
      <c r="A1616" s="0" t="s">
        <v>2599</v>
      </c>
      <c r="B1616" s="0" t="s">
        <v>2090</v>
      </c>
      <c r="D1616" s="46" t="n">
        <v>46216</v>
      </c>
      <c r="E1616" s="47" t="s">
        <v>62</v>
      </c>
      <c r="F1616" s="48" t="n">
        <v>157727.46</v>
      </c>
      <c r="G1616" s="47" t="s">
        <v>66</v>
      </c>
      <c r="H1616" s="47" t="s">
        <v>47</v>
      </c>
      <c r="I1616" s="47" t="s">
        <v>108</v>
      </c>
      <c r="J1616" s="47" t="s">
        <v>28</v>
      </c>
      <c r="K1616" s="47" t="s">
        <v>33</v>
      </c>
    </row>
    <row r="1617" customFormat="false" ht="15" hidden="false" customHeight="false" outlineLevel="0" collapsed="false">
      <c r="A1617" s="0" t="s">
        <v>2600</v>
      </c>
      <c r="B1617" s="0" t="s">
        <v>1097</v>
      </c>
      <c r="D1617" s="46" t="n">
        <v>46187</v>
      </c>
      <c r="E1617" s="47" t="s">
        <v>58</v>
      </c>
      <c r="F1617" s="48" t="n">
        <v>75808.62</v>
      </c>
      <c r="G1617" s="47" t="s">
        <v>66</v>
      </c>
      <c r="H1617" s="47" t="s">
        <v>47</v>
      </c>
      <c r="I1617" s="47" t="s">
        <v>108</v>
      </c>
      <c r="J1617" s="47" t="s">
        <v>28</v>
      </c>
      <c r="K1617" s="47" t="s">
        <v>34</v>
      </c>
    </row>
    <row r="1618" customFormat="false" ht="15" hidden="false" customHeight="false" outlineLevel="0" collapsed="false">
      <c r="A1618" s="0" t="s">
        <v>2601</v>
      </c>
      <c r="B1618" s="0" t="s">
        <v>216</v>
      </c>
      <c r="D1618" s="46" t="n">
        <v>46088</v>
      </c>
      <c r="E1618" s="47" t="s">
        <v>53</v>
      </c>
      <c r="F1618" s="48" t="n">
        <v>119684.11</v>
      </c>
      <c r="G1618" s="47" t="s">
        <v>53</v>
      </c>
      <c r="H1618" s="47" t="s">
        <v>45</v>
      </c>
      <c r="I1618" s="47" t="s">
        <v>217</v>
      </c>
      <c r="J1618" s="47" t="s">
        <v>28</v>
      </c>
      <c r="K1618" s="47" t="s">
        <v>34</v>
      </c>
    </row>
    <row r="1619" customFormat="false" ht="15" hidden="false" customHeight="false" outlineLevel="0" collapsed="false">
      <c r="A1619" s="0" t="s">
        <v>2602</v>
      </c>
      <c r="B1619" s="0" t="s">
        <v>382</v>
      </c>
      <c r="D1619" s="46" t="n">
        <v>46211</v>
      </c>
      <c r="E1619" s="47" t="s">
        <v>58</v>
      </c>
      <c r="F1619" s="48" t="n">
        <v>144640.4</v>
      </c>
      <c r="G1619" s="47" t="s">
        <v>66</v>
      </c>
      <c r="H1619" s="47" t="s">
        <v>43</v>
      </c>
      <c r="I1619" s="47" t="s">
        <v>201</v>
      </c>
      <c r="J1619" s="47" t="s">
        <v>28</v>
      </c>
      <c r="K1619" s="47" t="s">
        <v>33</v>
      </c>
    </row>
    <row r="1620" customFormat="false" ht="15" hidden="false" customHeight="false" outlineLevel="0" collapsed="false">
      <c r="A1620" s="0" t="s">
        <v>2603</v>
      </c>
      <c r="B1620" s="0" t="s">
        <v>958</v>
      </c>
      <c r="D1620" s="46" t="n">
        <v>45678</v>
      </c>
      <c r="E1620" s="47" t="s">
        <v>61</v>
      </c>
      <c r="F1620" s="48" t="n">
        <v>157603.73</v>
      </c>
      <c r="G1620" s="47" t="s">
        <v>57</v>
      </c>
      <c r="H1620" s="47" t="s">
        <v>39</v>
      </c>
      <c r="I1620" s="47" t="s">
        <v>177</v>
      </c>
      <c r="J1620" s="47" t="s">
        <v>28</v>
      </c>
      <c r="K1620" s="47" t="s">
        <v>33</v>
      </c>
    </row>
    <row r="1621" customFormat="false" ht="15" hidden="false" customHeight="false" outlineLevel="0" collapsed="false">
      <c r="A1621" s="0" t="s">
        <v>2604</v>
      </c>
      <c r="B1621" s="0" t="s">
        <v>1289</v>
      </c>
      <c r="D1621" s="46" t="n">
        <v>45683</v>
      </c>
      <c r="E1621" s="47" t="s">
        <v>55</v>
      </c>
      <c r="F1621" s="48" t="n">
        <v>84037.21</v>
      </c>
      <c r="G1621" s="47" t="s">
        <v>53</v>
      </c>
      <c r="H1621" s="47" t="s">
        <v>46</v>
      </c>
      <c r="I1621" s="47" t="s">
        <v>121</v>
      </c>
      <c r="J1621" s="47" t="s">
        <v>28</v>
      </c>
      <c r="K1621" s="47" t="s">
        <v>34</v>
      </c>
    </row>
    <row r="1622" customFormat="false" ht="15" hidden="false" customHeight="false" outlineLevel="0" collapsed="false">
      <c r="A1622" s="0" t="s">
        <v>2605</v>
      </c>
      <c r="B1622" s="0" t="s">
        <v>1368</v>
      </c>
      <c r="D1622" s="46" t="n">
        <v>46168</v>
      </c>
      <c r="E1622" s="47" t="s">
        <v>62</v>
      </c>
      <c r="F1622" s="48" t="n">
        <v>173463.64</v>
      </c>
      <c r="G1622" s="47" t="s">
        <v>68</v>
      </c>
      <c r="H1622" s="47" t="s">
        <v>43</v>
      </c>
      <c r="I1622" s="47" t="s">
        <v>102</v>
      </c>
      <c r="J1622" s="47" t="s">
        <v>28</v>
      </c>
      <c r="K1622" s="47" t="s">
        <v>34</v>
      </c>
    </row>
    <row r="1623" customFormat="false" ht="15" hidden="false" customHeight="false" outlineLevel="0" collapsed="false">
      <c r="A1623" s="0" t="s">
        <v>2606</v>
      </c>
      <c r="B1623" s="0" t="s">
        <v>2607</v>
      </c>
      <c r="D1623" s="46" t="n">
        <v>46169</v>
      </c>
      <c r="E1623" s="47" t="s">
        <v>53</v>
      </c>
      <c r="F1623" s="48" t="n">
        <v>67432.91</v>
      </c>
      <c r="G1623" s="47" t="s">
        <v>53</v>
      </c>
      <c r="H1623" s="47" t="s">
        <v>40</v>
      </c>
      <c r="I1623" s="47" t="s">
        <v>253</v>
      </c>
      <c r="J1623" s="47" t="s">
        <v>28</v>
      </c>
      <c r="K1623" s="47" t="s">
        <v>34</v>
      </c>
    </row>
    <row r="1624" customFormat="false" ht="15" hidden="false" customHeight="false" outlineLevel="0" collapsed="false">
      <c r="A1624" s="0" t="s">
        <v>2608</v>
      </c>
      <c r="B1624" s="0" t="s">
        <v>481</v>
      </c>
      <c r="D1624" s="46" t="n">
        <v>45966</v>
      </c>
      <c r="E1624" s="47" t="s">
        <v>53</v>
      </c>
      <c r="F1624" s="48" t="n">
        <v>44610.81</v>
      </c>
      <c r="G1624" s="47" t="s">
        <v>65</v>
      </c>
      <c r="H1624" s="47" t="s">
        <v>42</v>
      </c>
      <c r="I1624" s="47" t="s">
        <v>398</v>
      </c>
      <c r="J1624" s="47" t="s">
        <v>28</v>
      </c>
      <c r="K1624" s="47" t="s">
        <v>34</v>
      </c>
    </row>
    <row r="1625" customFormat="false" ht="15" hidden="false" customHeight="false" outlineLevel="0" collapsed="false">
      <c r="A1625" s="0" t="s">
        <v>2609</v>
      </c>
      <c r="B1625" s="0" t="s">
        <v>2610</v>
      </c>
      <c r="D1625" s="46" t="n">
        <v>46133</v>
      </c>
      <c r="E1625" s="47" t="s">
        <v>59</v>
      </c>
      <c r="F1625" s="48" t="n">
        <v>56519.22</v>
      </c>
      <c r="G1625" s="47" t="s">
        <v>57</v>
      </c>
      <c r="H1625" s="47" t="s">
        <v>42</v>
      </c>
      <c r="I1625" s="47" t="s">
        <v>137</v>
      </c>
      <c r="J1625" s="47" t="s">
        <v>28</v>
      </c>
      <c r="K1625" s="47" t="s">
        <v>34</v>
      </c>
    </row>
    <row r="1626" customFormat="false" ht="15" hidden="false" customHeight="false" outlineLevel="0" collapsed="false">
      <c r="A1626" s="0" t="s">
        <v>2611</v>
      </c>
      <c r="B1626" s="0" t="s">
        <v>444</v>
      </c>
      <c r="D1626" s="46" t="n">
        <v>45717</v>
      </c>
      <c r="E1626" s="47" t="s">
        <v>59</v>
      </c>
      <c r="F1626" s="48" t="n">
        <v>37972.52</v>
      </c>
      <c r="G1626" s="47" t="s">
        <v>53</v>
      </c>
      <c r="H1626" s="47" t="s">
        <v>46</v>
      </c>
      <c r="I1626" s="47" t="s">
        <v>121</v>
      </c>
      <c r="J1626" s="47" t="s">
        <v>28</v>
      </c>
      <c r="K1626" s="47" t="s">
        <v>34</v>
      </c>
    </row>
    <row r="1627" customFormat="false" ht="15" hidden="false" customHeight="false" outlineLevel="0" collapsed="false">
      <c r="A1627" s="0" t="s">
        <v>2612</v>
      </c>
      <c r="B1627" s="0" t="s">
        <v>2297</v>
      </c>
      <c r="D1627" s="46" t="n">
        <v>45839</v>
      </c>
      <c r="E1627" s="47" t="s">
        <v>60</v>
      </c>
      <c r="F1627" s="48" t="n">
        <v>17795.13</v>
      </c>
      <c r="G1627" s="47" t="s">
        <v>53</v>
      </c>
      <c r="H1627" s="47" t="s">
        <v>48</v>
      </c>
      <c r="I1627" s="47" t="s">
        <v>114</v>
      </c>
      <c r="J1627" s="47" t="s">
        <v>28</v>
      </c>
      <c r="K1627" s="47" t="s">
        <v>34</v>
      </c>
    </row>
    <row r="1628" customFormat="false" ht="15" hidden="false" customHeight="false" outlineLevel="0" collapsed="false">
      <c r="A1628" s="0" t="s">
        <v>2613</v>
      </c>
      <c r="B1628" s="0" t="s">
        <v>2614</v>
      </c>
      <c r="D1628" s="46" t="n">
        <v>45717</v>
      </c>
      <c r="E1628" s="47" t="s">
        <v>55</v>
      </c>
      <c r="F1628" s="48" t="n">
        <v>39111.55</v>
      </c>
      <c r="G1628" s="47" t="s">
        <v>68</v>
      </c>
      <c r="H1628" s="47" t="s">
        <v>41</v>
      </c>
      <c r="I1628" s="47" t="s">
        <v>272</v>
      </c>
      <c r="J1628" s="47" t="s">
        <v>30</v>
      </c>
      <c r="K1628" s="47" t="s">
        <v>34</v>
      </c>
    </row>
    <row r="1629" customFormat="false" ht="15" hidden="false" customHeight="false" outlineLevel="0" collapsed="false">
      <c r="A1629" s="0" t="s">
        <v>2615</v>
      </c>
      <c r="B1629" s="0" t="s">
        <v>1631</v>
      </c>
      <c r="D1629" s="46" t="n">
        <v>46045</v>
      </c>
      <c r="E1629" s="47" t="s">
        <v>62</v>
      </c>
      <c r="F1629" s="48" t="n">
        <v>183533.74</v>
      </c>
      <c r="G1629" s="47" t="s">
        <v>66</v>
      </c>
      <c r="H1629" s="47" t="s">
        <v>44</v>
      </c>
      <c r="I1629" s="47" t="s">
        <v>132</v>
      </c>
      <c r="J1629" s="47" t="s">
        <v>28</v>
      </c>
      <c r="K1629" s="47" t="s">
        <v>33</v>
      </c>
    </row>
    <row r="1630" customFormat="false" ht="15" hidden="false" customHeight="false" outlineLevel="0" collapsed="false">
      <c r="A1630" s="0" t="s">
        <v>2616</v>
      </c>
      <c r="B1630" s="0" t="s">
        <v>1493</v>
      </c>
      <c r="D1630" s="46" t="n">
        <v>45772</v>
      </c>
      <c r="E1630" s="47" t="s">
        <v>60</v>
      </c>
      <c r="F1630" s="48" t="n">
        <v>187916.42</v>
      </c>
      <c r="G1630" s="47" t="s">
        <v>68</v>
      </c>
      <c r="H1630" s="47" t="s">
        <v>39</v>
      </c>
      <c r="I1630" s="47" t="s">
        <v>145</v>
      </c>
      <c r="J1630" s="47" t="s">
        <v>28</v>
      </c>
      <c r="K1630" s="47" t="s">
        <v>33</v>
      </c>
    </row>
    <row r="1631" customFormat="false" ht="15" hidden="false" customHeight="false" outlineLevel="0" collapsed="false">
      <c r="A1631" s="0" t="s">
        <v>2617</v>
      </c>
      <c r="B1631" s="0" t="s">
        <v>1929</v>
      </c>
      <c r="C1631" s="0" t="s">
        <v>2618</v>
      </c>
      <c r="D1631" s="46" t="n">
        <v>46044</v>
      </c>
      <c r="E1631" s="47" t="s">
        <v>60</v>
      </c>
      <c r="F1631" s="48" t="n">
        <v>106497.75</v>
      </c>
      <c r="G1631" s="47" t="s">
        <v>68</v>
      </c>
      <c r="H1631" s="47" t="s">
        <v>39</v>
      </c>
      <c r="I1631" s="47" t="s">
        <v>177</v>
      </c>
      <c r="J1631" s="47" t="s">
        <v>29</v>
      </c>
      <c r="K1631" s="47" t="s">
        <v>34</v>
      </c>
    </row>
    <row r="1632" customFormat="false" ht="15" hidden="false" customHeight="false" outlineLevel="0" collapsed="false">
      <c r="A1632" s="0" t="s">
        <v>2619</v>
      </c>
      <c r="B1632" s="0" t="s">
        <v>1165</v>
      </c>
      <c r="D1632" s="46" t="n">
        <v>45961</v>
      </c>
      <c r="E1632" s="47" t="s">
        <v>59</v>
      </c>
      <c r="F1632" s="48" t="n">
        <v>158299.96</v>
      </c>
      <c r="G1632" s="47" t="s">
        <v>66</v>
      </c>
      <c r="H1632" s="47" t="s">
        <v>41</v>
      </c>
      <c r="I1632" s="47" t="s">
        <v>272</v>
      </c>
      <c r="J1632" s="47" t="s">
        <v>28</v>
      </c>
      <c r="K1632" s="47" t="s">
        <v>34</v>
      </c>
    </row>
    <row r="1633" customFormat="false" ht="15" hidden="false" customHeight="false" outlineLevel="0" collapsed="false">
      <c r="A1633" s="0" t="s">
        <v>2620</v>
      </c>
      <c r="B1633" s="0" t="s">
        <v>1122</v>
      </c>
      <c r="D1633" s="46" t="n">
        <v>46248</v>
      </c>
      <c r="E1633" s="47" t="s">
        <v>61</v>
      </c>
      <c r="F1633" s="48" t="n">
        <v>51035.85</v>
      </c>
      <c r="G1633" s="47" t="s">
        <v>65</v>
      </c>
      <c r="H1633" s="47" t="s">
        <v>48</v>
      </c>
      <c r="I1633" s="47" t="s">
        <v>212</v>
      </c>
      <c r="J1633" s="47" t="s">
        <v>29</v>
      </c>
      <c r="K1633" s="47" t="s">
        <v>33</v>
      </c>
    </row>
    <row r="1634" customFormat="false" ht="15" hidden="false" customHeight="false" outlineLevel="0" collapsed="false">
      <c r="A1634" s="0" t="s">
        <v>2621</v>
      </c>
      <c r="B1634" s="0" t="s">
        <v>197</v>
      </c>
      <c r="D1634" s="46" t="n">
        <v>46161</v>
      </c>
      <c r="E1634" s="47" t="s">
        <v>62</v>
      </c>
      <c r="F1634" s="48" t="n">
        <v>163463.64</v>
      </c>
      <c r="G1634" s="47" t="s">
        <v>53</v>
      </c>
      <c r="H1634" s="47" t="s">
        <v>44</v>
      </c>
      <c r="I1634" s="47" t="s">
        <v>80</v>
      </c>
      <c r="J1634" s="47" t="s">
        <v>28</v>
      </c>
      <c r="K1634" s="47" t="s">
        <v>34</v>
      </c>
    </row>
    <row r="1635" customFormat="false" ht="15" hidden="false" customHeight="false" outlineLevel="0" collapsed="false">
      <c r="A1635" s="0" t="s">
        <v>2622</v>
      </c>
      <c r="B1635" s="0" t="s">
        <v>1320</v>
      </c>
      <c r="D1635" s="46" t="n">
        <v>45854</v>
      </c>
      <c r="E1635" s="47" t="s">
        <v>59</v>
      </c>
      <c r="F1635" s="48" t="n">
        <v>129865.94</v>
      </c>
      <c r="G1635" s="47" t="s">
        <v>65</v>
      </c>
      <c r="H1635" s="47" t="s">
        <v>44</v>
      </c>
      <c r="I1635" s="47" t="s">
        <v>80</v>
      </c>
      <c r="J1635" s="47" t="s">
        <v>28</v>
      </c>
      <c r="K1635" s="47" t="s">
        <v>34</v>
      </c>
    </row>
    <row r="1636" customFormat="false" ht="15" hidden="false" customHeight="false" outlineLevel="0" collapsed="false">
      <c r="A1636" s="0" t="s">
        <v>2623</v>
      </c>
      <c r="B1636" s="0" t="s">
        <v>674</v>
      </c>
      <c r="D1636" s="46" t="n">
        <v>46126</v>
      </c>
      <c r="E1636" s="47" t="s">
        <v>59</v>
      </c>
      <c r="F1636" s="48" t="n">
        <v>9166.14</v>
      </c>
      <c r="G1636" s="47" t="s">
        <v>57</v>
      </c>
      <c r="H1636" s="47" t="s">
        <v>42</v>
      </c>
      <c r="I1636" s="47" t="s">
        <v>105</v>
      </c>
      <c r="J1636" s="47" t="s">
        <v>28</v>
      </c>
      <c r="K1636" s="47" t="s">
        <v>34</v>
      </c>
    </row>
    <row r="1637" customFormat="false" ht="15" hidden="false" customHeight="false" outlineLevel="0" collapsed="false">
      <c r="A1637" s="0" t="s">
        <v>2624</v>
      </c>
      <c r="B1637" s="0" t="s">
        <v>257</v>
      </c>
      <c r="D1637" s="46" t="n">
        <v>46243</v>
      </c>
      <c r="E1637" s="47" t="s">
        <v>62</v>
      </c>
      <c r="F1637" s="48" t="n">
        <v>124723.91</v>
      </c>
      <c r="G1637" s="47" t="s">
        <v>53</v>
      </c>
      <c r="H1637" s="47" t="s">
        <v>45</v>
      </c>
      <c r="I1637" s="47" t="s">
        <v>151</v>
      </c>
      <c r="J1637" s="47" t="s">
        <v>28</v>
      </c>
      <c r="K1637" s="47" t="s">
        <v>33</v>
      </c>
    </row>
    <row r="1638" customFormat="false" ht="15" hidden="false" customHeight="false" outlineLevel="0" collapsed="false">
      <c r="A1638" s="0" t="s">
        <v>2625</v>
      </c>
      <c r="B1638" s="0" t="s">
        <v>2474</v>
      </c>
      <c r="D1638" s="46" t="n">
        <v>45935</v>
      </c>
      <c r="E1638" s="47" t="s">
        <v>60</v>
      </c>
      <c r="F1638" s="48" t="n">
        <v>110007.71</v>
      </c>
      <c r="G1638" s="47" t="s">
        <v>53</v>
      </c>
      <c r="H1638" s="47" t="s">
        <v>41</v>
      </c>
      <c r="I1638" s="47" t="s">
        <v>293</v>
      </c>
      <c r="J1638" s="47" t="s">
        <v>28</v>
      </c>
      <c r="K1638" s="47" t="s">
        <v>34</v>
      </c>
    </row>
    <row r="1639" customFormat="false" ht="15" hidden="false" customHeight="false" outlineLevel="0" collapsed="false">
      <c r="A1639" s="0" t="s">
        <v>2626</v>
      </c>
      <c r="B1639" s="0" t="s">
        <v>125</v>
      </c>
      <c r="C1639" s="0" t="s">
        <v>699</v>
      </c>
      <c r="D1639" s="46" t="n">
        <v>45839</v>
      </c>
      <c r="E1639" s="47" t="s">
        <v>58</v>
      </c>
      <c r="F1639" s="48" t="n">
        <v>185987.44</v>
      </c>
      <c r="G1639" s="47" t="s">
        <v>65</v>
      </c>
      <c r="H1639" s="47" t="s">
        <v>46</v>
      </c>
      <c r="I1639" s="47" t="s">
        <v>121</v>
      </c>
      <c r="J1639" s="47" t="s">
        <v>28</v>
      </c>
      <c r="K1639" s="47" t="s">
        <v>33</v>
      </c>
    </row>
    <row r="1640" customFormat="false" ht="15" hidden="false" customHeight="false" outlineLevel="0" collapsed="false">
      <c r="A1640" s="0" t="s">
        <v>2627</v>
      </c>
      <c r="B1640" s="0" t="s">
        <v>529</v>
      </c>
      <c r="C1640" s="0" t="s">
        <v>2628</v>
      </c>
      <c r="D1640" s="46" t="n">
        <v>46181</v>
      </c>
      <c r="E1640" s="47" t="s">
        <v>61</v>
      </c>
      <c r="F1640" s="48" t="n">
        <v>85107.84</v>
      </c>
      <c r="G1640" s="47" t="s">
        <v>68</v>
      </c>
      <c r="H1640" s="47" t="s">
        <v>48</v>
      </c>
      <c r="I1640" s="47" t="s">
        <v>212</v>
      </c>
      <c r="J1640" s="47" t="s">
        <v>28</v>
      </c>
      <c r="K1640" s="47" t="s">
        <v>34</v>
      </c>
    </row>
    <row r="1641" customFormat="false" ht="15" hidden="false" customHeight="false" outlineLevel="0" collapsed="false">
      <c r="A1641" s="0" t="s">
        <v>2629</v>
      </c>
      <c r="B1641" s="0" t="s">
        <v>985</v>
      </c>
      <c r="D1641" s="46" t="n">
        <v>46208</v>
      </c>
      <c r="E1641" s="47" t="s">
        <v>60</v>
      </c>
      <c r="F1641" s="48" t="n">
        <v>58236.27</v>
      </c>
      <c r="G1641" s="47" t="s">
        <v>66</v>
      </c>
      <c r="H1641" s="47" t="s">
        <v>48</v>
      </c>
      <c r="I1641" s="47" t="s">
        <v>212</v>
      </c>
      <c r="J1641" s="47" t="s">
        <v>29</v>
      </c>
      <c r="K1641" s="47" t="s">
        <v>34</v>
      </c>
    </row>
    <row r="1642" customFormat="false" ht="15" hidden="false" customHeight="false" outlineLevel="0" collapsed="false">
      <c r="A1642" s="0" t="s">
        <v>2630</v>
      </c>
      <c r="B1642" s="0" t="s">
        <v>1387</v>
      </c>
      <c r="D1642" s="46" t="n">
        <v>46116</v>
      </c>
      <c r="E1642" s="47" t="s">
        <v>53</v>
      </c>
      <c r="F1642" s="48" t="n">
        <v>101674.3</v>
      </c>
      <c r="G1642" s="47" t="s">
        <v>65</v>
      </c>
      <c r="H1642" s="47" t="s">
        <v>45</v>
      </c>
      <c r="I1642" s="47" t="s">
        <v>217</v>
      </c>
      <c r="J1642" s="47" t="s">
        <v>28</v>
      </c>
      <c r="K1642" s="47" t="s">
        <v>33</v>
      </c>
    </row>
    <row r="1643" customFormat="false" ht="15" hidden="false" customHeight="false" outlineLevel="0" collapsed="false">
      <c r="A1643" s="0" t="s">
        <v>2631</v>
      </c>
      <c r="B1643" s="0" t="s">
        <v>1374</v>
      </c>
      <c r="D1643" s="46" t="n">
        <v>46259</v>
      </c>
      <c r="E1643" s="47" t="s">
        <v>62</v>
      </c>
      <c r="F1643" s="48" t="n">
        <v>14623.42</v>
      </c>
      <c r="G1643" s="47" t="s">
        <v>57</v>
      </c>
      <c r="H1643" s="47" t="s">
        <v>40</v>
      </c>
      <c r="I1643" s="47" t="s">
        <v>83</v>
      </c>
      <c r="J1643" s="47" t="s">
        <v>28</v>
      </c>
      <c r="K1643" s="47" t="s">
        <v>34</v>
      </c>
    </row>
    <row r="1644" customFormat="false" ht="15" hidden="false" customHeight="false" outlineLevel="0" collapsed="false">
      <c r="A1644" s="0" t="s">
        <v>2632</v>
      </c>
      <c r="B1644" s="0" t="s">
        <v>1622</v>
      </c>
      <c r="D1644" s="46" t="n">
        <v>45739</v>
      </c>
      <c r="E1644" s="47" t="s">
        <v>61</v>
      </c>
      <c r="F1644" s="48" t="n">
        <v>181139.96</v>
      </c>
      <c r="G1644" s="47" t="s">
        <v>57</v>
      </c>
      <c r="H1644" s="47" t="s">
        <v>40</v>
      </c>
      <c r="I1644" s="47" t="s">
        <v>83</v>
      </c>
      <c r="J1644" s="47" t="s">
        <v>28</v>
      </c>
      <c r="K1644" s="47" t="s">
        <v>34</v>
      </c>
    </row>
    <row r="1645" customFormat="false" ht="15" hidden="false" customHeight="false" outlineLevel="0" collapsed="false">
      <c r="A1645" s="0" t="s">
        <v>2633</v>
      </c>
      <c r="B1645" s="0" t="s">
        <v>808</v>
      </c>
      <c r="D1645" s="46" t="n">
        <v>46223</v>
      </c>
      <c r="E1645" s="47" t="s">
        <v>53</v>
      </c>
      <c r="F1645" s="48" t="n">
        <v>126465.55</v>
      </c>
      <c r="G1645" s="47" t="s">
        <v>68</v>
      </c>
      <c r="H1645" s="47" t="s">
        <v>44</v>
      </c>
      <c r="I1645" s="47" t="s">
        <v>80</v>
      </c>
      <c r="J1645" s="47" t="s">
        <v>28</v>
      </c>
      <c r="K1645" s="47" t="s">
        <v>34</v>
      </c>
    </row>
    <row r="1646" customFormat="false" ht="15" hidden="false" customHeight="false" outlineLevel="0" collapsed="false">
      <c r="A1646" s="0" t="s">
        <v>2634</v>
      </c>
      <c r="B1646" s="0" t="s">
        <v>1116</v>
      </c>
      <c r="D1646" s="46" t="n">
        <v>45756</v>
      </c>
      <c r="E1646" s="47" t="s">
        <v>59</v>
      </c>
      <c r="F1646" s="48" t="n">
        <v>95331.48</v>
      </c>
      <c r="G1646" s="47" t="s">
        <v>68</v>
      </c>
      <c r="H1646" s="47" t="s">
        <v>39</v>
      </c>
      <c r="I1646" s="47" t="s">
        <v>177</v>
      </c>
      <c r="J1646" s="47" t="s">
        <v>28</v>
      </c>
      <c r="K1646" s="47" t="s">
        <v>33</v>
      </c>
    </row>
    <row r="1647" customFormat="false" ht="15" hidden="false" customHeight="false" outlineLevel="0" collapsed="false">
      <c r="A1647" s="0" t="s">
        <v>2635</v>
      </c>
      <c r="B1647" s="0" t="s">
        <v>2230</v>
      </c>
      <c r="D1647" s="46" t="n">
        <v>45946</v>
      </c>
      <c r="E1647" s="47" t="s">
        <v>53</v>
      </c>
      <c r="F1647" s="48" t="n">
        <v>43422.02</v>
      </c>
      <c r="G1647" s="47" t="s">
        <v>57</v>
      </c>
      <c r="H1647" s="47" t="s">
        <v>45</v>
      </c>
      <c r="I1647" s="47" t="s">
        <v>95</v>
      </c>
      <c r="J1647" s="47" t="s">
        <v>28</v>
      </c>
      <c r="K1647" s="47" t="s">
        <v>33</v>
      </c>
    </row>
    <row r="1648" customFormat="false" ht="15" hidden="false" customHeight="false" outlineLevel="0" collapsed="false">
      <c r="A1648" s="0" t="s">
        <v>2636</v>
      </c>
      <c r="B1648" s="0" t="s">
        <v>1079</v>
      </c>
      <c r="C1648" s="0" t="s">
        <v>2637</v>
      </c>
      <c r="D1648" s="46" t="n">
        <v>45885</v>
      </c>
      <c r="E1648" s="47" t="s">
        <v>58</v>
      </c>
      <c r="F1648" s="48" t="n">
        <v>184091.06</v>
      </c>
      <c r="G1648" s="47" t="s">
        <v>65</v>
      </c>
      <c r="H1648" s="47" t="s">
        <v>45</v>
      </c>
      <c r="I1648" s="47" t="s">
        <v>151</v>
      </c>
      <c r="J1648" s="47" t="s">
        <v>28</v>
      </c>
      <c r="K1648" s="47" t="s">
        <v>33</v>
      </c>
    </row>
    <row r="1649" customFormat="false" ht="15" hidden="false" customHeight="false" outlineLevel="0" collapsed="false">
      <c r="A1649" s="0" t="s">
        <v>2638</v>
      </c>
      <c r="B1649" s="0" t="s">
        <v>536</v>
      </c>
      <c r="D1649" s="46" t="n">
        <v>45713</v>
      </c>
      <c r="E1649" s="47" t="s">
        <v>60</v>
      </c>
      <c r="F1649" s="48" t="n">
        <v>26914.87</v>
      </c>
      <c r="G1649" s="47" t="s">
        <v>66</v>
      </c>
      <c r="H1649" s="47" t="s">
        <v>39</v>
      </c>
      <c r="I1649" s="47" t="s">
        <v>177</v>
      </c>
      <c r="J1649" s="47" t="s">
        <v>28</v>
      </c>
      <c r="K1649" s="47" t="s">
        <v>33</v>
      </c>
    </row>
    <row r="1650" customFormat="false" ht="15" hidden="false" customHeight="false" outlineLevel="0" collapsed="false">
      <c r="A1650" s="0" t="s">
        <v>2639</v>
      </c>
      <c r="B1650" s="0" t="s">
        <v>961</v>
      </c>
      <c r="D1650" s="46" t="n">
        <v>46129</v>
      </c>
      <c r="E1650" s="47" t="s">
        <v>62</v>
      </c>
      <c r="F1650" s="48" t="n">
        <v>81942.45</v>
      </c>
      <c r="G1650" s="47" t="s">
        <v>66</v>
      </c>
      <c r="H1650" s="47" t="s">
        <v>42</v>
      </c>
      <c r="I1650" s="47" t="s">
        <v>398</v>
      </c>
      <c r="J1650" s="47" t="s">
        <v>28</v>
      </c>
      <c r="K1650" s="47" t="s">
        <v>34</v>
      </c>
    </row>
    <row r="1651" customFormat="false" ht="15" hidden="false" customHeight="false" outlineLevel="0" collapsed="false">
      <c r="A1651" s="0" t="s">
        <v>2640</v>
      </c>
      <c r="B1651" s="0" t="s">
        <v>188</v>
      </c>
      <c r="D1651" s="46" t="n">
        <v>45802</v>
      </c>
      <c r="E1651" s="47" t="s">
        <v>58</v>
      </c>
      <c r="F1651" s="48" t="n">
        <v>172314.28</v>
      </c>
      <c r="G1651" s="47" t="s">
        <v>66</v>
      </c>
      <c r="H1651" s="47" t="s">
        <v>43</v>
      </c>
      <c r="I1651" s="47" t="s">
        <v>117</v>
      </c>
      <c r="J1651" s="47" t="s">
        <v>28</v>
      </c>
      <c r="K1651" s="47" t="s">
        <v>34</v>
      </c>
    </row>
    <row r="1652" customFormat="false" ht="15" hidden="false" customHeight="false" outlineLevel="0" collapsed="false">
      <c r="A1652" s="0" t="s">
        <v>2641</v>
      </c>
      <c r="B1652" s="0" t="s">
        <v>2642</v>
      </c>
      <c r="D1652" s="46" t="n">
        <v>46227</v>
      </c>
      <c r="E1652" s="47" t="s">
        <v>55</v>
      </c>
      <c r="F1652" s="48" t="n">
        <v>21038.02</v>
      </c>
      <c r="G1652" s="47" t="s">
        <v>66</v>
      </c>
      <c r="H1652" s="47" t="s">
        <v>45</v>
      </c>
      <c r="I1652" s="47" t="s">
        <v>151</v>
      </c>
      <c r="J1652" s="47" t="s">
        <v>28</v>
      </c>
      <c r="K1652" s="47" t="s">
        <v>34</v>
      </c>
    </row>
    <row r="1653" customFormat="false" ht="15" hidden="false" customHeight="false" outlineLevel="0" collapsed="false">
      <c r="A1653" s="0" t="s">
        <v>2643</v>
      </c>
      <c r="B1653" s="0" t="s">
        <v>274</v>
      </c>
      <c r="D1653" s="46" t="n">
        <v>45714</v>
      </c>
      <c r="E1653" s="47" t="s">
        <v>59</v>
      </c>
      <c r="F1653" s="48" t="n">
        <v>18124.48</v>
      </c>
      <c r="G1653" s="47" t="s">
        <v>68</v>
      </c>
      <c r="H1653" s="47" t="s">
        <v>42</v>
      </c>
      <c r="I1653" s="47" t="s">
        <v>137</v>
      </c>
      <c r="J1653" s="47" t="s">
        <v>28</v>
      </c>
      <c r="K1653" s="47" t="s">
        <v>33</v>
      </c>
    </row>
    <row r="1654" customFormat="false" ht="15" hidden="false" customHeight="false" outlineLevel="0" collapsed="false">
      <c r="A1654" s="0" t="s">
        <v>2644</v>
      </c>
      <c r="B1654" s="0" t="s">
        <v>2645</v>
      </c>
      <c r="D1654" s="46" t="n">
        <v>45687</v>
      </c>
      <c r="E1654" s="47" t="s">
        <v>60</v>
      </c>
      <c r="F1654" s="48" t="n">
        <v>140606.4</v>
      </c>
      <c r="G1654" s="47" t="s">
        <v>53</v>
      </c>
      <c r="H1654" s="47" t="s">
        <v>48</v>
      </c>
      <c r="I1654" s="47" t="s">
        <v>114</v>
      </c>
      <c r="J1654" s="47" t="s">
        <v>28</v>
      </c>
      <c r="K1654" s="47" t="s">
        <v>33</v>
      </c>
    </row>
    <row r="1655" customFormat="false" ht="15" hidden="false" customHeight="false" outlineLevel="0" collapsed="false">
      <c r="A1655" s="0" t="s">
        <v>2646</v>
      </c>
      <c r="B1655" s="0" t="s">
        <v>1794</v>
      </c>
      <c r="D1655" s="46" t="n">
        <v>46251</v>
      </c>
      <c r="E1655" s="47" t="s">
        <v>59</v>
      </c>
      <c r="F1655" s="48" t="n">
        <v>30144.62</v>
      </c>
      <c r="G1655" s="47" t="s">
        <v>68</v>
      </c>
      <c r="H1655" s="47" t="s">
        <v>40</v>
      </c>
      <c r="I1655" s="47" t="s">
        <v>89</v>
      </c>
      <c r="J1655" s="47" t="s">
        <v>28</v>
      </c>
      <c r="K1655" s="47" t="s">
        <v>33</v>
      </c>
    </row>
    <row r="1656" customFormat="false" ht="15" hidden="false" customHeight="false" outlineLevel="0" collapsed="false">
      <c r="A1656" s="0" t="s">
        <v>2647</v>
      </c>
      <c r="B1656" s="0" t="s">
        <v>1190</v>
      </c>
      <c r="D1656" s="46" t="n">
        <v>45777</v>
      </c>
      <c r="E1656" s="47" t="s">
        <v>60</v>
      </c>
      <c r="F1656" s="48" t="n">
        <v>123786.57</v>
      </c>
      <c r="G1656" s="47" t="s">
        <v>53</v>
      </c>
      <c r="H1656" s="47" t="s">
        <v>45</v>
      </c>
      <c r="I1656" s="47" t="s">
        <v>95</v>
      </c>
      <c r="J1656" s="47" t="s">
        <v>28</v>
      </c>
      <c r="K1656" s="47" t="s">
        <v>34</v>
      </c>
    </row>
    <row r="1657" customFormat="false" ht="15" hidden="false" customHeight="false" outlineLevel="0" collapsed="false">
      <c r="A1657" s="0" t="s">
        <v>2648</v>
      </c>
      <c r="B1657" s="0" t="s">
        <v>2649</v>
      </c>
      <c r="D1657" s="46" t="n">
        <v>45884</v>
      </c>
      <c r="E1657" s="47" t="s">
        <v>59</v>
      </c>
      <c r="F1657" s="48" t="n">
        <v>77436.18</v>
      </c>
      <c r="G1657" s="47" t="s">
        <v>68</v>
      </c>
      <c r="H1657" s="47" t="s">
        <v>48</v>
      </c>
      <c r="I1657" s="47" t="s">
        <v>111</v>
      </c>
      <c r="J1657" s="47" t="s">
        <v>28</v>
      </c>
      <c r="K1657" s="47" t="s">
        <v>33</v>
      </c>
    </row>
    <row r="1658" customFormat="false" ht="15" hidden="false" customHeight="false" outlineLevel="0" collapsed="false">
      <c r="A1658" s="0" t="s">
        <v>2650</v>
      </c>
      <c r="B1658" s="0" t="s">
        <v>571</v>
      </c>
      <c r="C1658" s="0" t="s">
        <v>2651</v>
      </c>
      <c r="D1658" s="46" t="n">
        <v>46103</v>
      </c>
      <c r="E1658" s="47" t="s">
        <v>55</v>
      </c>
      <c r="F1658" s="48" t="n">
        <v>163225.84</v>
      </c>
      <c r="G1658" s="47" t="s">
        <v>53</v>
      </c>
      <c r="H1658" s="47" t="s">
        <v>43</v>
      </c>
      <c r="I1658" s="47" t="s">
        <v>201</v>
      </c>
      <c r="J1658" s="47" t="s">
        <v>28</v>
      </c>
      <c r="K1658" s="47" t="s">
        <v>33</v>
      </c>
    </row>
    <row r="1659" customFormat="false" ht="15" hidden="false" customHeight="false" outlineLevel="0" collapsed="false">
      <c r="A1659" s="0" t="s">
        <v>2652</v>
      </c>
      <c r="B1659" s="0" t="s">
        <v>885</v>
      </c>
      <c r="D1659" s="46" t="n">
        <v>45889</v>
      </c>
      <c r="E1659" s="47" t="s">
        <v>55</v>
      </c>
      <c r="F1659" s="48" t="n">
        <v>164988.23</v>
      </c>
      <c r="G1659" s="47" t="s">
        <v>68</v>
      </c>
      <c r="H1659" s="47" t="s">
        <v>43</v>
      </c>
      <c r="I1659" s="47" t="s">
        <v>102</v>
      </c>
      <c r="J1659" s="47" t="s">
        <v>28</v>
      </c>
      <c r="K1659" s="47" t="s">
        <v>34</v>
      </c>
    </row>
    <row r="1660" customFormat="false" ht="15" hidden="false" customHeight="false" outlineLevel="0" collapsed="false">
      <c r="A1660" s="0" t="s">
        <v>2653</v>
      </c>
      <c r="B1660" s="0" t="s">
        <v>317</v>
      </c>
      <c r="C1660" s="0" t="s">
        <v>2654</v>
      </c>
      <c r="D1660" s="46" t="n">
        <v>45767</v>
      </c>
      <c r="E1660" s="47" t="s">
        <v>61</v>
      </c>
      <c r="F1660" s="48" t="n">
        <v>129935.78</v>
      </c>
      <c r="G1660" s="47" t="s">
        <v>57</v>
      </c>
      <c r="H1660" s="47" t="s">
        <v>40</v>
      </c>
      <c r="I1660" s="47" t="s">
        <v>89</v>
      </c>
      <c r="J1660" s="47" t="s">
        <v>28</v>
      </c>
      <c r="K1660" s="47" t="s">
        <v>34</v>
      </c>
    </row>
    <row r="1661" customFormat="false" ht="15" hidden="false" customHeight="false" outlineLevel="0" collapsed="false">
      <c r="A1661" s="0" t="s">
        <v>2655</v>
      </c>
      <c r="B1661" s="0" t="s">
        <v>1267</v>
      </c>
      <c r="D1661" s="46" t="n">
        <v>46039</v>
      </c>
      <c r="E1661" s="47" t="s">
        <v>58</v>
      </c>
      <c r="F1661" s="48" t="n">
        <v>139777.55</v>
      </c>
      <c r="G1661" s="47" t="s">
        <v>68</v>
      </c>
      <c r="H1661" s="47" t="s">
        <v>44</v>
      </c>
      <c r="I1661" s="47" t="s">
        <v>80</v>
      </c>
      <c r="J1661" s="47" t="s">
        <v>28</v>
      </c>
      <c r="K1661" s="47" t="s">
        <v>34</v>
      </c>
    </row>
    <row r="1662" customFormat="false" ht="15" hidden="false" customHeight="false" outlineLevel="0" collapsed="false">
      <c r="A1662" s="0" t="s">
        <v>2656</v>
      </c>
      <c r="B1662" s="0" t="s">
        <v>844</v>
      </c>
      <c r="C1662" s="0" t="s">
        <v>2657</v>
      </c>
      <c r="D1662" s="46" t="n">
        <v>45665</v>
      </c>
      <c r="E1662" s="47" t="s">
        <v>60</v>
      </c>
      <c r="F1662" s="48" t="n">
        <v>42892.73</v>
      </c>
      <c r="G1662" s="47" t="s">
        <v>66</v>
      </c>
      <c r="H1662" s="47" t="s">
        <v>45</v>
      </c>
      <c r="I1662" s="47" t="s">
        <v>217</v>
      </c>
      <c r="J1662" s="47" t="s">
        <v>28</v>
      </c>
      <c r="K1662" s="47" t="s">
        <v>33</v>
      </c>
    </row>
    <row r="1663" customFormat="false" ht="15" hidden="false" customHeight="false" outlineLevel="0" collapsed="false">
      <c r="A1663" s="0" t="s">
        <v>2658</v>
      </c>
      <c r="B1663" s="0" t="s">
        <v>346</v>
      </c>
      <c r="D1663" s="46" t="n">
        <v>46275</v>
      </c>
      <c r="E1663" s="47" t="s">
        <v>59</v>
      </c>
      <c r="F1663" s="48" t="n">
        <v>42941.09</v>
      </c>
      <c r="G1663" s="47" t="s">
        <v>68</v>
      </c>
      <c r="H1663" s="47" t="s">
        <v>41</v>
      </c>
      <c r="I1663" s="47" t="s">
        <v>86</v>
      </c>
      <c r="J1663" s="47" t="s">
        <v>29</v>
      </c>
      <c r="K1663" s="47" t="s">
        <v>34</v>
      </c>
    </row>
    <row r="1664" customFormat="false" ht="15" hidden="false" customHeight="false" outlineLevel="0" collapsed="false">
      <c r="A1664" s="0" t="s">
        <v>2659</v>
      </c>
      <c r="B1664" s="0" t="s">
        <v>1093</v>
      </c>
      <c r="C1664" s="0" t="s">
        <v>2660</v>
      </c>
      <c r="D1664" s="46" t="n">
        <v>46284</v>
      </c>
      <c r="E1664" s="47" t="s">
        <v>59</v>
      </c>
      <c r="F1664" s="48" t="n">
        <v>66415.43</v>
      </c>
      <c r="G1664" s="47" t="s">
        <v>65</v>
      </c>
      <c r="H1664" s="47" t="s">
        <v>39</v>
      </c>
      <c r="I1664" s="47" t="s">
        <v>177</v>
      </c>
      <c r="J1664" s="47" t="s">
        <v>28</v>
      </c>
      <c r="K1664" s="47" t="s">
        <v>34</v>
      </c>
    </row>
    <row r="1665" customFormat="false" ht="15" hidden="false" customHeight="false" outlineLevel="0" collapsed="false">
      <c r="A1665" s="0" t="s">
        <v>2661</v>
      </c>
      <c r="B1665" s="0" t="s">
        <v>1541</v>
      </c>
      <c r="C1665" s="0" t="s">
        <v>2662</v>
      </c>
      <c r="D1665" s="46" t="n">
        <v>46004</v>
      </c>
      <c r="E1665" s="47" t="s">
        <v>61</v>
      </c>
      <c r="F1665" s="48" t="n">
        <v>3287.12</v>
      </c>
      <c r="G1665" s="47" t="s">
        <v>57</v>
      </c>
      <c r="H1665" s="47" t="s">
        <v>48</v>
      </c>
      <c r="I1665" s="47" t="s">
        <v>212</v>
      </c>
      <c r="J1665" s="47" t="s">
        <v>28</v>
      </c>
      <c r="K1665" s="47" t="s">
        <v>33</v>
      </c>
    </row>
    <row r="1666" customFormat="false" ht="15" hidden="false" customHeight="false" outlineLevel="0" collapsed="false">
      <c r="A1666" s="0" t="s">
        <v>2663</v>
      </c>
      <c r="B1666" s="0" t="s">
        <v>1122</v>
      </c>
      <c r="D1666" s="46" t="n">
        <v>45764</v>
      </c>
      <c r="E1666" s="47" t="s">
        <v>59</v>
      </c>
      <c r="F1666" s="48" t="n">
        <v>140359.27</v>
      </c>
      <c r="G1666" s="47" t="s">
        <v>57</v>
      </c>
      <c r="H1666" s="47" t="s">
        <v>48</v>
      </c>
      <c r="I1666" s="47" t="s">
        <v>212</v>
      </c>
      <c r="J1666" s="47" t="s">
        <v>28</v>
      </c>
      <c r="K1666" s="47" t="s">
        <v>34</v>
      </c>
    </row>
    <row r="1667" customFormat="false" ht="15" hidden="false" customHeight="false" outlineLevel="0" collapsed="false">
      <c r="A1667" s="0" t="s">
        <v>2664</v>
      </c>
      <c r="B1667" s="0" t="s">
        <v>475</v>
      </c>
      <c r="D1667" s="46" t="n">
        <v>45998</v>
      </c>
      <c r="E1667" s="47" t="s">
        <v>55</v>
      </c>
      <c r="F1667" s="48" t="n">
        <v>164672.78</v>
      </c>
      <c r="G1667" s="47" t="s">
        <v>68</v>
      </c>
      <c r="H1667" s="47" t="s">
        <v>42</v>
      </c>
      <c r="I1667" s="47" t="s">
        <v>398</v>
      </c>
      <c r="J1667" s="47" t="s">
        <v>28</v>
      </c>
      <c r="K1667" s="47" t="s">
        <v>34</v>
      </c>
    </row>
    <row r="1668" customFormat="false" ht="15" hidden="false" customHeight="false" outlineLevel="0" collapsed="false">
      <c r="A1668" s="0" t="s">
        <v>2665</v>
      </c>
      <c r="B1668" s="0" t="s">
        <v>1085</v>
      </c>
      <c r="D1668" s="46" t="n">
        <v>45749</v>
      </c>
      <c r="E1668" s="47" t="s">
        <v>61</v>
      </c>
      <c r="F1668" s="48" t="n">
        <v>1570.87</v>
      </c>
      <c r="G1668" s="47" t="s">
        <v>57</v>
      </c>
      <c r="H1668" s="47" t="s">
        <v>46</v>
      </c>
      <c r="I1668" s="47" t="s">
        <v>148</v>
      </c>
      <c r="J1668" s="47" t="s">
        <v>30</v>
      </c>
      <c r="K1668" s="47" t="s">
        <v>33</v>
      </c>
    </row>
    <row r="1669" customFormat="false" ht="15" hidden="false" customHeight="false" outlineLevel="0" collapsed="false">
      <c r="A1669" s="0" t="s">
        <v>2666</v>
      </c>
      <c r="B1669" s="0" t="s">
        <v>1219</v>
      </c>
      <c r="C1669" s="0" t="s">
        <v>2667</v>
      </c>
      <c r="D1669" s="46" t="n">
        <v>46007</v>
      </c>
      <c r="E1669" s="47" t="s">
        <v>53</v>
      </c>
      <c r="F1669" s="48" t="n">
        <v>20045.15</v>
      </c>
      <c r="G1669" s="47" t="s">
        <v>66</v>
      </c>
      <c r="H1669" s="47" t="s">
        <v>44</v>
      </c>
      <c r="I1669" s="47" t="s">
        <v>132</v>
      </c>
      <c r="J1669" s="47" t="s">
        <v>28</v>
      </c>
      <c r="K1669" s="47" t="s">
        <v>33</v>
      </c>
    </row>
    <row r="1670" customFormat="false" ht="15" hidden="false" customHeight="false" outlineLevel="0" collapsed="false">
      <c r="A1670" s="0" t="s">
        <v>2668</v>
      </c>
      <c r="B1670" s="0" t="s">
        <v>1014</v>
      </c>
      <c r="D1670" s="46" t="n">
        <v>46218</v>
      </c>
      <c r="E1670" s="47" t="s">
        <v>59</v>
      </c>
      <c r="F1670" s="48" t="n">
        <v>51471.12</v>
      </c>
      <c r="G1670" s="47" t="s">
        <v>66</v>
      </c>
      <c r="H1670" s="47" t="s">
        <v>40</v>
      </c>
      <c r="I1670" s="47" t="s">
        <v>253</v>
      </c>
      <c r="J1670" s="47" t="s">
        <v>28</v>
      </c>
      <c r="K1670" s="47" t="s">
        <v>33</v>
      </c>
    </row>
    <row r="1671" customFormat="false" ht="15" hidden="false" customHeight="false" outlineLevel="0" collapsed="false">
      <c r="A1671" s="0" t="s">
        <v>2669</v>
      </c>
      <c r="B1671" s="0" t="s">
        <v>2670</v>
      </c>
      <c r="D1671" s="46" t="n">
        <v>46117</v>
      </c>
      <c r="E1671" s="47" t="s">
        <v>60</v>
      </c>
      <c r="F1671" s="48" t="n">
        <v>159857.01</v>
      </c>
      <c r="G1671" s="47" t="s">
        <v>66</v>
      </c>
      <c r="H1671" s="47" t="s">
        <v>39</v>
      </c>
      <c r="I1671" s="47" t="s">
        <v>145</v>
      </c>
      <c r="J1671" s="47" t="s">
        <v>28</v>
      </c>
      <c r="K1671" s="47" t="s">
        <v>33</v>
      </c>
    </row>
    <row r="1672" customFormat="false" ht="15" hidden="false" customHeight="false" outlineLevel="0" collapsed="false">
      <c r="A1672" s="0" t="s">
        <v>2671</v>
      </c>
      <c r="B1672" s="0" t="s">
        <v>617</v>
      </c>
      <c r="D1672" s="46" t="n">
        <v>46002</v>
      </c>
      <c r="E1672" s="47" t="s">
        <v>53</v>
      </c>
      <c r="F1672" s="48" t="n">
        <v>4646.1</v>
      </c>
      <c r="G1672" s="47" t="s">
        <v>65</v>
      </c>
      <c r="H1672" s="47" t="s">
        <v>48</v>
      </c>
      <c r="I1672" s="47" t="s">
        <v>111</v>
      </c>
      <c r="J1672" s="47" t="s">
        <v>28</v>
      </c>
      <c r="K1672" s="47" t="s">
        <v>34</v>
      </c>
    </row>
    <row r="1673" customFormat="false" ht="15" hidden="false" customHeight="false" outlineLevel="0" collapsed="false">
      <c r="A1673" s="0" t="s">
        <v>2672</v>
      </c>
      <c r="B1673" s="0" t="s">
        <v>455</v>
      </c>
      <c r="D1673" s="46" t="n">
        <v>45715</v>
      </c>
      <c r="E1673" s="47" t="s">
        <v>61</v>
      </c>
      <c r="F1673" s="48" t="n">
        <v>76226.25</v>
      </c>
      <c r="G1673" s="47" t="s">
        <v>66</v>
      </c>
      <c r="H1673" s="47" t="s">
        <v>44</v>
      </c>
      <c r="I1673" s="47" t="s">
        <v>80</v>
      </c>
      <c r="J1673" s="47" t="s">
        <v>28</v>
      </c>
      <c r="K1673" s="47" t="s">
        <v>33</v>
      </c>
    </row>
    <row r="1674" customFormat="false" ht="15" hidden="false" customHeight="false" outlineLevel="0" collapsed="false">
      <c r="A1674" s="0" t="s">
        <v>2673</v>
      </c>
      <c r="B1674" s="0" t="s">
        <v>511</v>
      </c>
      <c r="D1674" s="46" t="n">
        <v>46138</v>
      </c>
      <c r="E1674" s="47" t="s">
        <v>60</v>
      </c>
      <c r="F1674" s="48" t="n">
        <v>1614.57</v>
      </c>
      <c r="G1674" s="47" t="s">
        <v>68</v>
      </c>
      <c r="H1674" s="47" t="s">
        <v>40</v>
      </c>
      <c r="I1674" s="47" t="s">
        <v>89</v>
      </c>
      <c r="J1674" s="47" t="s">
        <v>28</v>
      </c>
      <c r="K1674" s="47" t="s">
        <v>33</v>
      </c>
    </row>
    <row r="1675" customFormat="false" ht="15" hidden="false" customHeight="false" outlineLevel="0" collapsed="false">
      <c r="A1675" s="0" t="s">
        <v>2674</v>
      </c>
      <c r="B1675" s="0" t="s">
        <v>237</v>
      </c>
      <c r="D1675" s="46" t="n">
        <v>46108</v>
      </c>
      <c r="E1675" s="47" t="s">
        <v>53</v>
      </c>
      <c r="F1675" s="48" t="n">
        <v>169766.89</v>
      </c>
      <c r="G1675" s="47" t="s">
        <v>68</v>
      </c>
      <c r="H1675" s="47" t="s">
        <v>47</v>
      </c>
      <c r="I1675" s="47" t="s">
        <v>108</v>
      </c>
      <c r="J1675" s="47" t="s">
        <v>28</v>
      </c>
      <c r="K1675" s="47" t="s">
        <v>33</v>
      </c>
    </row>
    <row r="1676" customFormat="false" ht="15" hidden="false" customHeight="false" outlineLevel="0" collapsed="false">
      <c r="A1676" s="0" t="s">
        <v>2675</v>
      </c>
      <c r="B1676" s="0" t="s">
        <v>2437</v>
      </c>
      <c r="D1676" s="46" t="n">
        <v>45996</v>
      </c>
      <c r="E1676" s="47" t="s">
        <v>59</v>
      </c>
      <c r="F1676" s="48" t="n">
        <v>194860.14</v>
      </c>
      <c r="G1676" s="47" t="s">
        <v>68</v>
      </c>
      <c r="H1676" s="47" t="s">
        <v>42</v>
      </c>
      <c r="I1676" s="47" t="s">
        <v>137</v>
      </c>
      <c r="J1676" s="47" t="s">
        <v>28</v>
      </c>
      <c r="K1676" s="47" t="s">
        <v>34</v>
      </c>
    </row>
    <row r="1677" customFormat="false" ht="15" hidden="false" customHeight="false" outlineLevel="0" collapsed="false">
      <c r="A1677" s="0" t="s">
        <v>2676</v>
      </c>
      <c r="B1677" s="0" t="s">
        <v>707</v>
      </c>
      <c r="D1677" s="46" t="n">
        <v>46118</v>
      </c>
      <c r="E1677" s="47" t="s">
        <v>59</v>
      </c>
      <c r="F1677" s="48" t="n">
        <v>49250.98</v>
      </c>
      <c r="G1677" s="47" t="s">
        <v>53</v>
      </c>
      <c r="H1677" s="47" t="s">
        <v>43</v>
      </c>
      <c r="I1677" s="47" t="s">
        <v>201</v>
      </c>
      <c r="J1677" s="47" t="s">
        <v>28</v>
      </c>
      <c r="K1677" s="47" t="s">
        <v>34</v>
      </c>
    </row>
    <row r="1678" customFormat="false" ht="15" hidden="false" customHeight="false" outlineLevel="0" collapsed="false">
      <c r="A1678" s="0" t="s">
        <v>2677</v>
      </c>
      <c r="B1678" s="0" t="s">
        <v>1296</v>
      </c>
      <c r="D1678" s="46" t="n">
        <v>45728</v>
      </c>
      <c r="E1678" s="47" t="s">
        <v>53</v>
      </c>
      <c r="F1678" s="48" t="n">
        <v>14533.15</v>
      </c>
      <c r="G1678" s="47" t="s">
        <v>68</v>
      </c>
      <c r="H1678" s="47" t="s">
        <v>41</v>
      </c>
      <c r="I1678" s="47" t="s">
        <v>86</v>
      </c>
      <c r="J1678" s="47" t="s">
        <v>28</v>
      </c>
      <c r="K1678" s="47" t="s">
        <v>33</v>
      </c>
    </row>
    <row r="1679" customFormat="false" ht="15" hidden="false" customHeight="false" outlineLevel="0" collapsed="false">
      <c r="A1679" s="0" t="s">
        <v>2678</v>
      </c>
      <c r="B1679" s="0" t="s">
        <v>2679</v>
      </c>
      <c r="D1679" s="46" t="n">
        <v>46015</v>
      </c>
      <c r="E1679" s="47" t="s">
        <v>55</v>
      </c>
      <c r="F1679" s="48" t="n">
        <v>102648.17</v>
      </c>
      <c r="G1679" s="47" t="s">
        <v>65</v>
      </c>
      <c r="H1679" s="47" t="s">
        <v>45</v>
      </c>
      <c r="I1679" s="47" t="s">
        <v>217</v>
      </c>
      <c r="J1679" s="47" t="s">
        <v>28</v>
      </c>
      <c r="K1679" s="47" t="s">
        <v>34</v>
      </c>
    </row>
    <row r="1680" customFormat="false" ht="15" hidden="false" customHeight="false" outlineLevel="0" collapsed="false">
      <c r="A1680" s="0" t="s">
        <v>2680</v>
      </c>
      <c r="B1680" s="0" t="s">
        <v>263</v>
      </c>
      <c r="C1680" s="0" t="s">
        <v>1532</v>
      </c>
      <c r="D1680" s="46" t="n">
        <v>46054</v>
      </c>
      <c r="E1680" s="47" t="s">
        <v>59</v>
      </c>
      <c r="F1680" s="48" t="n">
        <v>95109.04</v>
      </c>
      <c r="G1680" s="47" t="s">
        <v>57</v>
      </c>
      <c r="H1680" s="47" t="s">
        <v>46</v>
      </c>
      <c r="I1680" s="47" t="s">
        <v>121</v>
      </c>
      <c r="J1680" s="47" t="s">
        <v>28</v>
      </c>
      <c r="K1680" s="47" t="s">
        <v>33</v>
      </c>
    </row>
    <row r="1681" customFormat="false" ht="15" hidden="false" customHeight="false" outlineLevel="0" collapsed="false">
      <c r="A1681" s="0" t="s">
        <v>2681</v>
      </c>
      <c r="B1681" s="0" t="s">
        <v>547</v>
      </c>
      <c r="D1681" s="46" t="n">
        <v>46185</v>
      </c>
      <c r="E1681" s="47" t="s">
        <v>62</v>
      </c>
      <c r="F1681" s="48" t="n">
        <v>38223.33</v>
      </c>
      <c r="G1681" s="47" t="s">
        <v>57</v>
      </c>
      <c r="H1681" s="47" t="s">
        <v>47</v>
      </c>
      <c r="I1681" s="47" t="s">
        <v>245</v>
      </c>
      <c r="J1681" s="47" t="s">
        <v>28</v>
      </c>
      <c r="K1681" s="47" t="s">
        <v>33</v>
      </c>
    </row>
    <row r="1682" customFormat="false" ht="15" hidden="false" customHeight="false" outlineLevel="0" collapsed="false">
      <c r="A1682" s="0" t="s">
        <v>2682</v>
      </c>
      <c r="B1682" s="0" t="s">
        <v>2683</v>
      </c>
      <c r="D1682" s="46" t="n">
        <v>45752</v>
      </c>
      <c r="E1682" s="47" t="s">
        <v>53</v>
      </c>
      <c r="F1682" s="48" t="n">
        <v>49604.51</v>
      </c>
      <c r="G1682" s="47" t="s">
        <v>66</v>
      </c>
      <c r="H1682" s="47" t="s">
        <v>44</v>
      </c>
      <c r="I1682" s="47" t="s">
        <v>226</v>
      </c>
      <c r="J1682" s="47" t="s">
        <v>28</v>
      </c>
      <c r="K1682" s="47" t="s">
        <v>33</v>
      </c>
    </row>
    <row r="1683" customFormat="false" ht="15" hidden="false" customHeight="false" outlineLevel="0" collapsed="false">
      <c r="A1683" s="0" t="s">
        <v>2684</v>
      </c>
      <c r="B1683" s="0" t="s">
        <v>297</v>
      </c>
      <c r="D1683" s="46" t="n">
        <v>46197</v>
      </c>
      <c r="E1683" s="47" t="s">
        <v>55</v>
      </c>
      <c r="F1683" s="48" t="n">
        <v>12910.21</v>
      </c>
      <c r="G1683" s="47" t="s">
        <v>57</v>
      </c>
      <c r="H1683" s="47" t="s">
        <v>39</v>
      </c>
      <c r="I1683" s="47" t="s">
        <v>145</v>
      </c>
      <c r="J1683" s="47" t="s">
        <v>28</v>
      </c>
      <c r="K1683" s="47" t="s">
        <v>33</v>
      </c>
    </row>
    <row r="1684" customFormat="false" ht="15" hidden="false" customHeight="false" outlineLevel="0" collapsed="false">
      <c r="A1684" s="0" t="s">
        <v>2685</v>
      </c>
      <c r="B1684" s="0" t="s">
        <v>2097</v>
      </c>
      <c r="D1684" s="46" t="n">
        <v>45956</v>
      </c>
      <c r="E1684" s="47" t="s">
        <v>55</v>
      </c>
      <c r="F1684" s="48" t="n">
        <v>79296.12</v>
      </c>
      <c r="G1684" s="47" t="s">
        <v>65</v>
      </c>
      <c r="H1684" s="47" t="s">
        <v>40</v>
      </c>
      <c r="I1684" s="47" t="s">
        <v>89</v>
      </c>
      <c r="J1684" s="47" t="s">
        <v>28</v>
      </c>
      <c r="K1684" s="47" t="s">
        <v>33</v>
      </c>
    </row>
    <row r="1685" customFormat="false" ht="15" hidden="false" customHeight="false" outlineLevel="0" collapsed="false">
      <c r="A1685" s="0" t="s">
        <v>2686</v>
      </c>
      <c r="B1685" s="0" t="s">
        <v>1476</v>
      </c>
      <c r="C1685" s="0" t="s">
        <v>2687</v>
      </c>
      <c r="D1685" s="46" t="n">
        <v>45894</v>
      </c>
      <c r="E1685" s="47" t="s">
        <v>55</v>
      </c>
      <c r="F1685" s="48" t="n">
        <v>145049.13</v>
      </c>
      <c r="G1685" s="47" t="s">
        <v>65</v>
      </c>
      <c r="H1685" s="47" t="s">
        <v>46</v>
      </c>
      <c r="I1685" s="47" t="s">
        <v>148</v>
      </c>
      <c r="J1685" s="47" t="s">
        <v>28</v>
      </c>
      <c r="K1685" s="47" t="s">
        <v>34</v>
      </c>
    </row>
    <row r="1686" customFormat="false" ht="15" hidden="false" customHeight="false" outlineLevel="0" collapsed="false">
      <c r="A1686" s="0" t="s">
        <v>2688</v>
      </c>
      <c r="B1686" s="0" t="s">
        <v>362</v>
      </c>
      <c r="C1686" s="0" t="s">
        <v>2689</v>
      </c>
      <c r="D1686" s="46" t="n">
        <v>46043</v>
      </c>
      <c r="E1686" s="47" t="s">
        <v>53</v>
      </c>
      <c r="F1686" s="48" t="n">
        <v>36960.82</v>
      </c>
      <c r="G1686" s="47" t="s">
        <v>66</v>
      </c>
      <c r="H1686" s="47" t="s">
        <v>41</v>
      </c>
      <c r="I1686" s="47" t="s">
        <v>293</v>
      </c>
      <c r="J1686" s="47" t="s">
        <v>28</v>
      </c>
      <c r="K1686" s="47" t="s">
        <v>34</v>
      </c>
    </row>
    <row r="1687" customFormat="false" ht="15" hidden="false" customHeight="false" outlineLevel="0" collapsed="false">
      <c r="A1687" s="0" t="s">
        <v>2690</v>
      </c>
      <c r="B1687" s="0" t="s">
        <v>2248</v>
      </c>
      <c r="D1687" s="46" t="n">
        <v>45730</v>
      </c>
      <c r="E1687" s="47" t="s">
        <v>60</v>
      </c>
      <c r="F1687" s="48" t="n">
        <v>180259.01</v>
      </c>
      <c r="G1687" s="47" t="s">
        <v>66</v>
      </c>
      <c r="H1687" s="47" t="s">
        <v>40</v>
      </c>
      <c r="I1687" s="47" t="s">
        <v>83</v>
      </c>
      <c r="J1687" s="47" t="s">
        <v>28</v>
      </c>
      <c r="K1687" s="47" t="s">
        <v>33</v>
      </c>
    </row>
    <row r="1688" customFormat="false" ht="15" hidden="false" customHeight="false" outlineLevel="0" collapsed="false">
      <c r="A1688" s="0" t="s">
        <v>2691</v>
      </c>
      <c r="B1688" s="0" t="s">
        <v>1846</v>
      </c>
      <c r="D1688" s="46" t="n">
        <v>46205</v>
      </c>
      <c r="E1688" s="47" t="s">
        <v>60</v>
      </c>
      <c r="F1688" s="48" t="n">
        <v>71322.94</v>
      </c>
      <c r="G1688" s="47" t="s">
        <v>57</v>
      </c>
      <c r="H1688" s="47" t="s">
        <v>43</v>
      </c>
      <c r="I1688" s="47" t="s">
        <v>102</v>
      </c>
      <c r="J1688" s="47" t="s">
        <v>28</v>
      </c>
      <c r="K1688" s="47" t="s">
        <v>33</v>
      </c>
    </row>
    <row r="1689" customFormat="false" ht="15" hidden="false" customHeight="false" outlineLevel="0" collapsed="false">
      <c r="A1689" s="0" t="s">
        <v>2692</v>
      </c>
      <c r="B1689" s="0" t="s">
        <v>2297</v>
      </c>
      <c r="D1689" s="46" t="n">
        <v>46114</v>
      </c>
      <c r="E1689" s="47" t="s">
        <v>61</v>
      </c>
      <c r="F1689" s="48" t="n">
        <v>4637.14</v>
      </c>
      <c r="G1689" s="47" t="s">
        <v>57</v>
      </c>
      <c r="H1689" s="47" t="s">
        <v>48</v>
      </c>
      <c r="I1689" s="47" t="s">
        <v>114</v>
      </c>
      <c r="J1689" s="47" t="s">
        <v>28</v>
      </c>
      <c r="K1689" s="47" t="s">
        <v>33</v>
      </c>
    </row>
    <row r="1690" customFormat="false" ht="15" hidden="false" customHeight="false" outlineLevel="0" collapsed="false">
      <c r="A1690" s="0" t="s">
        <v>2693</v>
      </c>
      <c r="B1690" s="0" t="s">
        <v>1459</v>
      </c>
      <c r="D1690" s="46" t="n">
        <v>46053</v>
      </c>
      <c r="E1690" s="47" t="s">
        <v>61</v>
      </c>
      <c r="F1690" s="48" t="n">
        <v>155844.56</v>
      </c>
      <c r="G1690" s="47" t="s">
        <v>53</v>
      </c>
      <c r="H1690" s="47" t="s">
        <v>45</v>
      </c>
      <c r="I1690" s="47" t="s">
        <v>95</v>
      </c>
      <c r="J1690" s="47" t="s">
        <v>28</v>
      </c>
      <c r="K1690" s="47" t="s">
        <v>33</v>
      </c>
    </row>
    <row r="1691" customFormat="false" ht="15" hidden="false" customHeight="false" outlineLevel="0" collapsed="false">
      <c r="A1691" s="0" t="s">
        <v>2694</v>
      </c>
      <c r="B1691" s="0" t="s">
        <v>2695</v>
      </c>
      <c r="D1691" s="46" t="n">
        <v>45692</v>
      </c>
      <c r="E1691" s="47" t="s">
        <v>58</v>
      </c>
      <c r="F1691" s="48" t="n">
        <v>84034.97</v>
      </c>
      <c r="G1691" s="47" t="s">
        <v>65</v>
      </c>
      <c r="H1691" s="47" t="s">
        <v>43</v>
      </c>
      <c r="I1691" s="47" t="s">
        <v>102</v>
      </c>
      <c r="J1691" s="47" t="s">
        <v>28</v>
      </c>
      <c r="K1691" s="47" t="s">
        <v>34</v>
      </c>
    </row>
    <row r="1692" customFormat="false" ht="15" hidden="false" customHeight="false" outlineLevel="0" collapsed="false">
      <c r="A1692" s="0" t="s">
        <v>2696</v>
      </c>
      <c r="B1692" s="0" t="s">
        <v>559</v>
      </c>
      <c r="D1692" s="46" t="n">
        <v>46008</v>
      </c>
      <c r="E1692" s="47" t="s">
        <v>61</v>
      </c>
      <c r="F1692" s="48" t="n">
        <v>172452.47</v>
      </c>
      <c r="G1692" s="47" t="s">
        <v>66</v>
      </c>
      <c r="H1692" s="47" t="s">
        <v>44</v>
      </c>
      <c r="I1692" s="47" t="s">
        <v>80</v>
      </c>
      <c r="J1692" s="47" t="s">
        <v>29</v>
      </c>
      <c r="K1692" s="47" t="s">
        <v>33</v>
      </c>
    </row>
    <row r="1693" customFormat="false" ht="15" hidden="false" customHeight="false" outlineLevel="0" collapsed="false">
      <c r="A1693" s="0" t="s">
        <v>2697</v>
      </c>
      <c r="B1693" s="0" t="s">
        <v>1828</v>
      </c>
      <c r="D1693" s="46" t="n">
        <v>45897</v>
      </c>
      <c r="E1693" s="47" t="s">
        <v>60</v>
      </c>
      <c r="F1693" s="48" t="n">
        <v>139472.09</v>
      </c>
      <c r="G1693" s="47" t="s">
        <v>66</v>
      </c>
      <c r="H1693" s="47" t="s">
        <v>43</v>
      </c>
      <c r="I1693" s="47" t="s">
        <v>102</v>
      </c>
      <c r="J1693" s="47" t="s">
        <v>28</v>
      </c>
      <c r="K1693" s="47" t="s">
        <v>33</v>
      </c>
    </row>
    <row r="1694" customFormat="false" ht="15" hidden="false" customHeight="false" outlineLevel="0" collapsed="false">
      <c r="A1694" s="0" t="s">
        <v>2698</v>
      </c>
      <c r="B1694" s="0" t="s">
        <v>2073</v>
      </c>
      <c r="D1694" s="46" t="n">
        <v>45997</v>
      </c>
      <c r="E1694" s="47" t="s">
        <v>62</v>
      </c>
      <c r="F1694" s="48" t="n">
        <v>128790.27</v>
      </c>
      <c r="G1694" s="47" t="s">
        <v>68</v>
      </c>
      <c r="H1694" s="47" t="s">
        <v>43</v>
      </c>
      <c r="I1694" s="47" t="s">
        <v>201</v>
      </c>
      <c r="J1694" s="47" t="s">
        <v>28</v>
      </c>
      <c r="K1694" s="47" t="s">
        <v>33</v>
      </c>
    </row>
    <row r="1695" customFormat="false" ht="15" hidden="false" customHeight="false" outlineLevel="0" collapsed="false">
      <c r="A1695" s="0" t="s">
        <v>2699</v>
      </c>
      <c r="B1695" s="0" t="s">
        <v>2510</v>
      </c>
      <c r="D1695" s="46" t="n">
        <v>46143</v>
      </c>
      <c r="E1695" s="47" t="s">
        <v>62</v>
      </c>
      <c r="F1695" s="48" t="n">
        <v>127847.45</v>
      </c>
      <c r="G1695" s="47" t="s">
        <v>65</v>
      </c>
      <c r="H1695" s="47" t="s">
        <v>46</v>
      </c>
      <c r="I1695" s="47" t="s">
        <v>121</v>
      </c>
      <c r="J1695" s="47" t="s">
        <v>28</v>
      </c>
      <c r="K1695" s="47" t="s">
        <v>34</v>
      </c>
    </row>
    <row r="1696" customFormat="false" ht="15" hidden="false" customHeight="false" outlineLevel="0" collapsed="false">
      <c r="A1696" s="0" t="s">
        <v>2700</v>
      </c>
      <c r="B1696" s="0" t="s">
        <v>910</v>
      </c>
      <c r="D1696" s="46" t="n">
        <v>45828</v>
      </c>
      <c r="E1696" s="47" t="s">
        <v>58</v>
      </c>
      <c r="F1696" s="48" t="n">
        <v>39437.44</v>
      </c>
      <c r="G1696" s="47" t="s">
        <v>68</v>
      </c>
      <c r="H1696" s="47" t="s">
        <v>43</v>
      </c>
      <c r="I1696" s="47" t="s">
        <v>102</v>
      </c>
      <c r="J1696" s="47" t="s">
        <v>28</v>
      </c>
      <c r="K1696" s="47" t="s">
        <v>33</v>
      </c>
    </row>
    <row r="1697" customFormat="false" ht="15" hidden="false" customHeight="false" outlineLevel="0" collapsed="false">
      <c r="A1697" s="0" t="s">
        <v>2701</v>
      </c>
      <c r="B1697" s="0" t="s">
        <v>2115</v>
      </c>
      <c r="D1697" s="46" t="n">
        <v>45933</v>
      </c>
      <c r="E1697" s="47" t="s">
        <v>62</v>
      </c>
      <c r="F1697" s="48" t="n">
        <v>186150.62</v>
      </c>
      <c r="G1697" s="47" t="s">
        <v>66</v>
      </c>
      <c r="H1697" s="47" t="s">
        <v>41</v>
      </c>
      <c r="I1697" s="47" t="s">
        <v>272</v>
      </c>
      <c r="J1697" s="47" t="s">
        <v>28</v>
      </c>
      <c r="K1697" s="47" t="s">
        <v>33</v>
      </c>
    </row>
    <row r="1698" customFormat="false" ht="15" hidden="false" customHeight="false" outlineLevel="0" collapsed="false">
      <c r="A1698" s="0" t="s">
        <v>2702</v>
      </c>
      <c r="B1698" s="0" t="s">
        <v>544</v>
      </c>
      <c r="D1698" s="46" t="n">
        <v>45707</v>
      </c>
      <c r="E1698" s="47" t="s">
        <v>55</v>
      </c>
      <c r="F1698" s="48" t="n">
        <v>163853.98</v>
      </c>
      <c r="G1698" s="47" t="s">
        <v>68</v>
      </c>
      <c r="H1698" s="47" t="s">
        <v>44</v>
      </c>
      <c r="I1698" s="47" t="s">
        <v>80</v>
      </c>
      <c r="J1698" s="47" t="s">
        <v>28</v>
      </c>
      <c r="K1698" s="47" t="s">
        <v>34</v>
      </c>
    </row>
    <row r="1699" customFormat="false" ht="15" hidden="false" customHeight="false" outlineLevel="0" collapsed="false">
      <c r="A1699" s="0" t="s">
        <v>2703</v>
      </c>
      <c r="B1699" s="0" t="s">
        <v>2346</v>
      </c>
      <c r="D1699" s="46" t="n">
        <v>46214</v>
      </c>
      <c r="E1699" s="47" t="s">
        <v>61</v>
      </c>
      <c r="F1699" s="48" t="n">
        <v>139007.53</v>
      </c>
      <c r="G1699" s="47" t="s">
        <v>53</v>
      </c>
      <c r="H1699" s="47" t="s">
        <v>45</v>
      </c>
      <c r="I1699" s="47" t="s">
        <v>217</v>
      </c>
      <c r="J1699" s="47" t="s">
        <v>28</v>
      </c>
      <c r="K1699" s="47" t="s">
        <v>33</v>
      </c>
    </row>
    <row r="1700" customFormat="false" ht="15" hidden="false" customHeight="false" outlineLevel="0" collapsed="false">
      <c r="A1700" s="0" t="s">
        <v>2704</v>
      </c>
      <c r="B1700" s="0" t="s">
        <v>131</v>
      </c>
      <c r="D1700" s="46" t="n">
        <v>46144</v>
      </c>
      <c r="E1700" s="47" t="s">
        <v>53</v>
      </c>
      <c r="F1700" s="48" t="n">
        <v>144774.04</v>
      </c>
      <c r="G1700" s="47" t="s">
        <v>68</v>
      </c>
      <c r="H1700" s="47" t="s">
        <v>44</v>
      </c>
      <c r="I1700" s="47" t="s">
        <v>132</v>
      </c>
      <c r="J1700" s="47" t="s">
        <v>28</v>
      </c>
      <c r="K1700" s="47" t="s">
        <v>34</v>
      </c>
    </row>
    <row r="1701" customFormat="false" ht="15" hidden="false" customHeight="false" outlineLevel="0" collapsed="false">
      <c r="A1701" s="0" t="s">
        <v>2705</v>
      </c>
      <c r="B1701" s="0" t="s">
        <v>2379</v>
      </c>
      <c r="D1701" s="46" t="n">
        <v>46260</v>
      </c>
      <c r="E1701" s="47" t="s">
        <v>58</v>
      </c>
      <c r="F1701" s="48" t="n">
        <v>98333.2</v>
      </c>
      <c r="G1701" s="47" t="s">
        <v>66</v>
      </c>
      <c r="H1701" s="47" t="s">
        <v>41</v>
      </c>
      <c r="I1701" s="47" t="s">
        <v>86</v>
      </c>
      <c r="J1701" s="47" t="s">
        <v>28</v>
      </c>
      <c r="K1701" s="47" t="s">
        <v>34</v>
      </c>
    </row>
    <row r="1702" customFormat="false" ht="15" hidden="false" customHeight="false" outlineLevel="0" collapsed="false">
      <c r="A1702" s="0" t="s">
        <v>2706</v>
      </c>
      <c r="B1702" s="0" t="s">
        <v>395</v>
      </c>
      <c r="D1702" s="46" t="n">
        <v>45877</v>
      </c>
      <c r="E1702" s="47" t="s">
        <v>55</v>
      </c>
      <c r="F1702" s="48" t="n">
        <v>109696.44</v>
      </c>
      <c r="G1702" s="47" t="s">
        <v>57</v>
      </c>
      <c r="H1702" s="47" t="s">
        <v>43</v>
      </c>
      <c r="I1702" s="47" t="s">
        <v>201</v>
      </c>
      <c r="J1702" s="47" t="s">
        <v>28</v>
      </c>
      <c r="K1702" s="47" t="s">
        <v>33</v>
      </c>
    </row>
    <row r="1703" customFormat="false" ht="15" hidden="false" customHeight="false" outlineLevel="0" collapsed="false">
      <c r="A1703" s="0" t="s">
        <v>2707</v>
      </c>
      <c r="B1703" s="0" t="s">
        <v>1030</v>
      </c>
      <c r="D1703" s="46" t="n">
        <v>46103</v>
      </c>
      <c r="E1703" s="47" t="s">
        <v>58</v>
      </c>
      <c r="F1703" s="48" t="n">
        <v>58920.12</v>
      </c>
      <c r="G1703" s="47" t="s">
        <v>57</v>
      </c>
      <c r="H1703" s="47" t="s">
        <v>39</v>
      </c>
      <c r="I1703" s="47" t="s">
        <v>98</v>
      </c>
      <c r="J1703" s="47" t="s">
        <v>28</v>
      </c>
      <c r="K1703" s="47" t="s">
        <v>33</v>
      </c>
    </row>
    <row r="1704" customFormat="false" ht="15" hidden="false" customHeight="false" outlineLevel="0" collapsed="false">
      <c r="A1704" s="0" t="s">
        <v>2708</v>
      </c>
      <c r="B1704" s="0" t="s">
        <v>713</v>
      </c>
      <c r="D1704" s="46" t="n">
        <v>46206</v>
      </c>
      <c r="E1704" s="47" t="s">
        <v>59</v>
      </c>
      <c r="F1704" s="48" t="n">
        <v>131132.59</v>
      </c>
      <c r="G1704" s="47" t="s">
        <v>57</v>
      </c>
      <c r="H1704" s="47" t="s">
        <v>48</v>
      </c>
      <c r="I1704" s="47" t="s">
        <v>212</v>
      </c>
      <c r="J1704" s="47" t="s">
        <v>28</v>
      </c>
      <c r="K1704" s="47" t="s">
        <v>34</v>
      </c>
    </row>
    <row r="1705" customFormat="false" ht="15" hidden="false" customHeight="false" outlineLevel="0" collapsed="false">
      <c r="A1705" s="0" t="s">
        <v>2709</v>
      </c>
      <c r="B1705" s="0" t="s">
        <v>1267</v>
      </c>
      <c r="D1705" s="46" t="n">
        <v>45679</v>
      </c>
      <c r="E1705" s="47" t="s">
        <v>62</v>
      </c>
      <c r="F1705" s="48" t="n">
        <v>105540.55</v>
      </c>
      <c r="G1705" s="47" t="s">
        <v>68</v>
      </c>
      <c r="H1705" s="47" t="s">
        <v>44</v>
      </c>
      <c r="I1705" s="47" t="s">
        <v>80</v>
      </c>
      <c r="J1705" s="47" t="s">
        <v>28</v>
      </c>
      <c r="K1705" s="47" t="s">
        <v>34</v>
      </c>
    </row>
    <row r="1706" customFormat="false" ht="15" hidden="false" customHeight="false" outlineLevel="0" collapsed="false">
      <c r="A1706" s="0" t="s">
        <v>2710</v>
      </c>
      <c r="B1706" s="0" t="s">
        <v>851</v>
      </c>
      <c r="D1706" s="46" t="n">
        <v>45889</v>
      </c>
      <c r="E1706" s="47" t="s">
        <v>55</v>
      </c>
      <c r="F1706" s="48" t="n">
        <v>126016.5</v>
      </c>
      <c r="G1706" s="47" t="s">
        <v>57</v>
      </c>
      <c r="H1706" s="47" t="s">
        <v>46</v>
      </c>
      <c r="I1706" s="47" t="s">
        <v>148</v>
      </c>
      <c r="J1706" s="47" t="s">
        <v>28</v>
      </c>
      <c r="K1706" s="47" t="s">
        <v>34</v>
      </c>
    </row>
    <row r="1707" customFormat="false" ht="15" hidden="false" customHeight="false" outlineLevel="0" collapsed="false">
      <c r="A1707" s="0" t="s">
        <v>2711</v>
      </c>
      <c r="B1707" s="0" t="s">
        <v>2195</v>
      </c>
      <c r="C1707" s="0" t="s">
        <v>2482</v>
      </c>
      <c r="D1707" s="46" t="n">
        <v>46071</v>
      </c>
      <c r="E1707" s="47" t="s">
        <v>61</v>
      </c>
      <c r="F1707" s="48" t="n">
        <v>144274.46</v>
      </c>
      <c r="G1707" s="47" t="s">
        <v>57</v>
      </c>
      <c r="H1707" s="47" t="s">
        <v>40</v>
      </c>
      <c r="I1707" s="47" t="s">
        <v>83</v>
      </c>
      <c r="J1707" s="47" t="s">
        <v>28</v>
      </c>
      <c r="K1707" s="47" t="s">
        <v>34</v>
      </c>
    </row>
    <row r="1708" customFormat="false" ht="15" hidden="false" customHeight="false" outlineLevel="0" collapsed="false">
      <c r="A1708" s="0" t="s">
        <v>2712</v>
      </c>
      <c r="B1708" s="0" t="s">
        <v>463</v>
      </c>
      <c r="D1708" s="46" t="n">
        <v>46039</v>
      </c>
      <c r="E1708" s="47" t="s">
        <v>55</v>
      </c>
      <c r="F1708" s="48" t="n">
        <v>113912.57</v>
      </c>
      <c r="G1708" s="47" t="s">
        <v>57</v>
      </c>
      <c r="H1708" s="47" t="s">
        <v>40</v>
      </c>
      <c r="I1708" s="47" t="s">
        <v>83</v>
      </c>
      <c r="J1708" s="47" t="s">
        <v>28</v>
      </c>
      <c r="K1708" s="47" t="s">
        <v>33</v>
      </c>
    </row>
    <row r="1709" customFormat="false" ht="15" hidden="false" customHeight="false" outlineLevel="0" collapsed="false">
      <c r="A1709" s="0" t="s">
        <v>2713</v>
      </c>
      <c r="B1709" s="0" t="s">
        <v>1990</v>
      </c>
      <c r="D1709" s="46" t="n">
        <v>45912</v>
      </c>
      <c r="E1709" s="47" t="s">
        <v>62</v>
      </c>
      <c r="F1709" s="48" t="n">
        <v>170508.05</v>
      </c>
      <c r="G1709" s="47" t="s">
        <v>66</v>
      </c>
      <c r="H1709" s="47" t="s">
        <v>43</v>
      </c>
      <c r="I1709" s="47" t="s">
        <v>201</v>
      </c>
      <c r="J1709" s="47" t="s">
        <v>28</v>
      </c>
      <c r="K1709" s="47" t="s">
        <v>34</v>
      </c>
    </row>
    <row r="1710" customFormat="false" ht="15" hidden="false" customHeight="false" outlineLevel="0" collapsed="false">
      <c r="A1710" s="0" t="s">
        <v>2714</v>
      </c>
      <c r="B1710" s="0" t="s">
        <v>2715</v>
      </c>
      <c r="D1710" s="46" t="n">
        <v>45750</v>
      </c>
      <c r="E1710" s="47" t="s">
        <v>61</v>
      </c>
      <c r="F1710" s="48" t="n">
        <v>143562.41</v>
      </c>
      <c r="G1710" s="47" t="s">
        <v>65</v>
      </c>
      <c r="H1710" s="47" t="s">
        <v>44</v>
      </c>
      <c r="I1710" s="47" t="s">
        <v>226</v>
      </c>
      <c r="J1710" s="47" t="s">
        <v>28</v>
      </c>
      <c r="K1710" s="47" t="s">
        <v>34</v>
      </c>
    </row>
    <row r="1711" customFormat="false" ht="15" hidden="false" customHeight="false" outlineLevel="0" collapsed="false">
      <c r="A1711" s="0" t="s">
        <v>2716</v>
      </c>
      <c r="B1711" s="0" t="s">
        <v>619</v>
      </c>
      <c r="D1711" s="46" t="n">
        <v>46186</v>
      </c>
      <c r="E1711" s="47" t="s">
        <v>59</v>
      </c>
      <c r="F1711" s="48" t="n">
        <v>93503.49</v>
      </c>
      <c r="G1711" s="47" t="s">
        <v>53</v>
      </c>
      <c r="H1711" s="47" t="s">
        <v>43</v>
      </c>
      <c r="I1711" s="47" t="s">
        <v>117</v>
      </c>
      <c r="J1711" s="47" t="s">
        <v>28</v>
      </c>
      <c r="K1711" s="47" t="s">
        <v>33</v>
      </c>
    </row>
    <row r="1712" customFormat="false" ht="15" hidden="false" customHeight="false" outlineLevel="0" collapsed="false">
      <c r="A1712" s="0" t="s">
        <v>2717</v>
      </c>
      <c r="B1712" s="0" t="s">
        <v>625</v>
      </c>
      <c r="D1712" s="46" t="n">
        <v>46128</v>
      </c>
      <c r="E1712" s="47" t="s">
        <v>61</v>
      </c>
      <c r="F1712" s="48" t="n">
        <v>1012.15</v>
      </c>
      <c r="G1712" s="47" t="s">
        <v>53</v>
      </c>
      <c r="H1712" s="47" t="s">
        <v>44</v>
      </c>
      <c r="I1712" s="47" t="s">
        <v>226</v>
      </c>
      <c r="J1712" s="47" t="s">
        <v>28</v>
      </c>
      <c r="K1712" s="47" t="s">
        <v>33</v>
      </c>
    </row>
    <row r="1713" customFormat="false" ht="15" hidden="false" customHeight="false" outlineLevel="0" collapsed="false">
      <c r="A1713" s="0" t="s">
        <v>2718</v>
      </c>
      <c r="B1713" s="0" t="s">
        <v>371</v>
      </c>
      <c r="D1713" s="46" t="n">
        <v>46292</v>
      </c>
      <c r="E1713" s="47" t="s">
        <v>59</v>
      </c>
      <c r="F1713" s="48" t="n">
        <v>190297.77</v>
      </c>
      <c r="G1713" s="47" t="s">
        <v>66</v>
      </c>
      <c r="H1713" s="47" t="s">
        <v>46</v>
      </c>
      <c r="I1713" s="47" t="s">
        <v>148</v>
      </c>
      <c r="J1713" s="47" t="s">
        <v>28</v>
      </c>
      <c r="K1713" s="47" t="s">
        <v>34</v>
      </c>
    </row>
    <row r="1714" customFormat="false" ht="15" hidden="false" customHeight="false" outlineLevel="0" collapsed="false">
      <c r="A1714" s="0" t="s">
        <v>2719</v>
      </c>
      <c r="B1714" s="0" t="s">
        <v>2514</v>
      </c>
      <c r="D1714" s="46" t="n">
        <v>45928</v>
      </c>
      <c r="E1714" s="47" t="s">
        <v>55</v>
      </c>
      <c r="F1714" s="48" t="n">
        <v>87120.57</v>
      </c>
      <c r="G1714" s="47" t="s">
        <v>65</v>
      </c>
      <c r="H1714" s="47" t="s">
        <v>46</v>
      </c>
      <c r="I1714" s="47" t="s">
        <v>148</v>
      </c>
      <c r="J1714" s="47" t="s">
        <v>28</v>
      </c>
      <c r="K1714" s="47" t="s">
        <v>33</v>
      </c>
    </row>
    <row r="1715" customFormat="false" ht="15" hidden="false" customHeight="false" outlineLevel="0" collapsed="false">
      <c r="A1715" s="0" t="s">
        <v>2720</v>
      </c>
      <c r="B1715" s="0" t="s">
        <v>1012</v>
      </c>
      <c r="D1715" s="46" t="n">
        <v>46284</v>
      </c>
      <c r="E1715" s="47" t="s">
        <v>62</v>
      </c>
      <c r="F1715" s="48" t="n">
        <v>45587.14</v>
      </c>
      <c r="G1715" s="47" t="s">
        <v>53</v>
      </c>
      <c r="H1715" s="47" t="s">
        <v>47</v>
      </c>
      <c r="I1715" s="47" t="s">
        <v>166</v>
      </c>
      <c r="J1715" s="47" t="s">
        <v>28</v>
      </c>
      <c r="K1715" s="47" t="s">
        <v>34</v>
      </c>
    </row>
    <row r="1716" customFormat="false" ht="15" hidden="false" customHeight="false" outlineLevel="0" collapsed="false">
      <c r="A1716" s="0" t="s">
        <v>2721</v>
      </c>
      <c r="B1716" s="0" t="s">
        <v>386</v>
      </c>
      <c r="D1716" s="46" t="n">
        <v>45771</v>
      </c>
      <c r="E1716" s="47" t="s">
        <v>53</v>
      </c>
      <c r="F1716" s="48" t="n">
        <v>185510.69</v>
      </c>
      <c r="G1716" s="47" t="s">
        <v>66</v>
      </c>
      <c r="H1716" s="47" t="s">
        <v>39</v>
      </c>
      <c r="I1716" s="47" t="s">
        <v>98</v>
      </c>
      <c r="J1716" s="47" t="s">
        <v>28</v>
      </c>
      <c r="K1716" s="47" t="s">
        <v>33</v>
      </c>
    </row>
    <row r="1717" customFormat="false" ht="15" hidden="false" customHeight="false" outlineLevel="0" collapsed="false">
      <c r="A1717" s="0" t="s">
        <v>2722</v>
      </c>
      <c r="B1717" s="0" t="s">
        <v>983</v>
      </c>
      <c r="C1717" s="0" t="s">
        <v>2723</v>
      </c>
      <c r="D1717" s="46" t="n">
        <v>46108</v>
      </c>
      <c r="E1717" s="47" t="s">
        <v>61</v>
      </c>
      <c r="F1717" s="48" t="n">
        <v>48302.12</v>
      </c>
      <c r="G1717" s="47" t="s">
        <v>65</v>
      </c>
      <c r="H1717" s="47" t="s">
        <v>47</v>
      </c>
      <c r="I1717" s="47" t="s">
        <v>108</v>
      </c>
      <c r="J1717" s="47" t="s">
        <v>29</v>
      </c>
      <c r="K1717" s="47" t="s">
        <v>33</v>
      </c>
    </row>
    <row r="1718" customFormat="false" ht="15" hidden="false" customHeight="false" outlineLevel="0" collapsed="false">
      <c r="A1718" s="0" t="s">
        <v>2724</v>
      </c>
      <c r="B1718" s="0" t="s">
        <v>2725</v>
      </c>
      <c r="D1718" s="46" t="n">
        <v>46074</v>
      </c>
      <c r="E1718" s="47" t="s">
        <v>55</v>
      </c>
      <c r="F1718" s="48" t="n">
        <v>21737.85</v>
      </c>
      <c r="G1718" s="47" t="s">
        <v>68</v>
      </c>
      <c r="H1718" s="47" t="s">
        <v>42</v>
      </c>
      <c r="I1718" s="47" t="s">
        <v>137</v>
      </c>
      <c r="J1718" s="47" t="s">
        <v>28</v>
      </c>
      <c r="K1718" s="47" t="s">
        <v>34</v>
      </c>
    </row>
    <row r="1719" customFormat="false" ht="15" hidden="false" customHeight="false" outlineLevel="0" collapsed="false">
      <c r="A1719" s="0" t="s">
        <v>2726</v>
      </c>
      <c r="B1719" s="0" t="s">
        <v>989</v>
      </c>
      <c r="D1719" s="46" t="n">
        <v>46171</v>
      </c>
      <c r="E1719" s="47" t="s">
        <v>53</v>
      </c>
      <c r="F1719" s="48" t="n">
        <v>27390.58</v>
      </c>
      <c r="G1719" s="47" t="s">
        <v>53</v>
      </c>
      <c r="H1719" s="47" t="s">
        <v>48</v>
      </c>
      <c r="I1719" s="47" t="s">
        <v>212</v>
      </c>
      <c r="J1719" s="47" t="s">
        <v>28</v>
      </c>
      <c r="K1719" s="47" t="s">
        <v>34</v>
      </c>
    </row>
    <row r="1720" customFormat="false" ht="15" hidden="false" customHeight="false" outlineLevel="0" collapsed="false">
      <c r="A1720" s="0" t="s">
        <v>2727</v>
      </c>
      <c r="B1720" s="0" t="s">
        <v>1614</v>
      </c>
      <c r="D1720" s="46" t="n">
        <v>46197</v>
      </c>
      <c r="E1720" s="47" t="s">
        <v>53</v>
      </c>
      <c r="F1720" s="48" t="n">
        <v>120761.54</v>
      </c>
      <c r="G1720" s="47" t="s">
        <v>68</v>
      </c>
      <c r="H1720" s="47" t="s">
        <v>45</v>
      </c>
      <c r="I1720" s="47" t="s">
        <v>151</v>
      </c>
      <c r="J1720" s="47" t="s">
        <v>28</v>
      </c>
      <c r="K1720" s="47" t="s">
        <v>34</v>
      </c>
    </row>
    <row r="1721" customFormat="false" ht="15" hidden="false" customHeight="false" outlineLevel="0" collapsed="false">
      <c r="A1721" s="0" t="s">
        <v>2728</v>
      </c>
      <c r="B1721" s="0" t="s">
        <v>1763</v>
      </c>
      <c r="D1721" s="46" t="n">
        <v>45846</v>
      </c>
      <c r="E1721" s="47" t="s">
        <v>55</v>
      </c>
      <c r="F1721" s="48" t="n">
        <v>134695.72</v>
      </c>
      <c r="G1721" s="47" t="s">
        <v>68</v>
      </c>
      <c r="H1721" s="47" t="s">
        <v>48</v>
      </c>
      <c r="I1721" s="47" t="s">
        <v>114</v>
      </c>
      <c r="J1721" s="47" t="s">
        <v>28</v>
      </c>
      <c r="K1721" s="47" t="s">
        <v>33</v>
      </c>
    </row>
    <row r="1722" customFormat="false" ht="15" hidden="false" customHeight="false" outlineLevel="0" collapsed="false">
      <c r="A1722" s="0" t="s">
        <v>2729</v>
      </c>
      <c r="B1722" s="0" t="s">
        <v>457</v>
      </c>
      <c r="D1722" s="46" t="n">
        <v>45675</v>
      </c>
      <c r="E1722" s="47" t="s">
        <v>59</v>
      </c>
      <c r="F1722" s="48" t="n">
        <v>46495.85</v>
      </c>
      <c r="G1722" s="47" t="s">
        <v>53</v>
      </c>
      <c r="H1722" s="47" t="s">
        <v>39</v>
      </c>
      <c r="I1722" s="47" t="s">
        <v>177</v>
      </c>
      <c r="J1722" s="47" t="s">
        <v>28</v>
      </c>
      <c r="K1722" s="47" t="s">
        <v>33</v>
      </c>
    </row>
    <row r="1723" customFormat="false" ht="15" hidden="false" customHeight="false" outlineLevel="0" collapsed="false">
      <c r="A1723" s="0" t="s">
        <v>2730</v>
      </c>
      <c r="B1723" s="0" t="s">
        <v>2523</v>
      </c>
      <c r="C1723" s="0" t="s">
        <v>2731</v>
      </c>
      <c r="D1723" s="46" t="n">
        <v>45722</v>
      </c>
      <c r="E1723" s="47" t="s">
        <v>59</v>
      </c>
      <c r="F1723" s="48" t="n">
        <v>58895.64</v>
      </c>
      <c r="G1723" s="47" t="s">
        <v>68</v>
      </c>
      <c r="H1723" s="47" t="s">
        <v>45</v>
      </c>
      <c r="I1723" s="47" t="s">
        <v>217</v>
      </c>
      <c r="J1723" s="47" t="s">
        <v>28</v>
      </c>
      <c r="K1723" s="47" t="s">
        <v>34</v>
      </c>
    </row>
    <row r="1724" customFormat="false" ht="15" hidden="false" customHeight="false" outlineLevel="0" collapsed="false">
      <c r="A1724" s="0" t="s">
        <v>2732</v>
      </c>
      <c r="B1724" s="0" t="s">
        <v>203</v>
      </c>
      <c r="D1724" s="46" t="n">
        <v>46025</v>
      </c>
      <c r="E1724" s="47" t="s">
        <v>62</v>
      </c>
      <c r="F1724" s="48" t="n">
        <v>140466.61</v>
      </c>
      <c r="G1724" s="47" t="s">
        <v>53</v>
      </c>
      <c r="H1724" s="47" t="s">
        <v>39</v>
      </c>
      <c r="I1724" s="47" t="s">
        <v>177</v>
      </c>
      <c r="J1724" s="47" t="s">
        <v>28</v>
      </c>
      <c r="K1724" s="47" t="s">
        <v>34</v>
      </c>
    </row>
    <row r="1725" customFormat="false" ht="15" hidden="false" customHeight="false" outlineLevel="0" collapsed="false">
      <c r="A1725" s="0" t="s">
        <v>2733</v>
      </c>
      <c r="B1725" s="0" t="s">
        <v>547</v>
      </c>
      <c r="D1725" s="46" t="n">
        <v>46263</v>
      </c>
      <c r="E1725" s="47" t="s">
        <v>59</v>
      </c>
      <c r="F1725" s="48" t="n">
        <v>39652.4</v>
      </c>
      <c r="G1725" s="47" t="s">
        <v>66</v>
      </c>
      <c r="H1725" s="47" t="s">
        <v>47</v>
      </c>
      <c r="I1725" s="47" t="s">
        <v>245</v>
      </c>
      <c r="J1725" s="47" t="s">
        <v>28</v>
      </c>
      <c r="K1725" s="47" t="s">
        <v>33</v>
      </c>
    </row>
    <row r="1726" customFormat="false" ht="15" hidden="false" customHeight="false" outlineLevel="0" collapsed="false">
      <c r="A1726" s="0" t="s">
        <v>2734</v>
      </c>
      <c r="B1726" s="0" t="s">
        <v>185</v>
      </c>
      <c r="D1726" s="46" t="n">
        <v>45678</v>
      </c>
      <c r="E1726" s="47" t="s">
        <v>55</v>
      </c>
      <c r="F1726" s="48" t="n">
        <v>134683.76</v>
      </c>
      <c r="G1726" s="47" t="s">
        <v>65</v>
      </c>
      <c r="H1726" s="47" t="s">
        <v>47</v>
      </c>
      <c r="I1726" s="47" t="s">
        <v>166</v>
      </c>
      <c r="J1726" s="47" t="s">
        <v>28</v>
      </c>
      <c r="K1726" s="47" t="s">
        <v>34</v>
      </c>
    </row>
    <row r="1727" customFormat="false" ht="15" hidden="false" customHeight="false" outlineLevel="0" collapsed="false">
      <c r="A1727" s="0" t="s">
        <v>2735</v>
      </c>
      <c r="B1727" s="0" t="s">
        <v>1984</v>
      </c>
      <c r="D1727" s="46" t="n">
        <v>45688</v>
      </c>
      <c r="E1727" s="47" t="s">
        <v>55</v>
      </c>
      <c r="F1727" s="48" t="n">
        <v>51750.31</v>
      </c>
      <c r="G1727" s="47" t="s">
        <v>66</v>
      </c>
      <c r="H1727" s="47" t="s">
        <v>47</v>
      </c>
      <c r="I1727" s="47" t="s">
        <v>166</v>
      </c>
      <c r="J1727" s="47" t="s">
        <v>28</v>
      </c>
      <c r="K1727" s="47" t="s">
        <v>34</v>
      </c>
    </row>
    <row r="1728" customFormat="false" ht="15" hidden="false" customHeight="false" outlineLevel="0" collapsed="false">
      <c r="A1728" s="0" t="s">
        <v>2736</v>
      </c>
      <c r="B1728" s="0" t="s">
        <v>531</v>
      </c>
      <c r="D1728" s="46" t="n">
        <v>45829</v>
      </c>
      <c r="E1728" s="47" t="s">
        <v>61</v>
      </c>
      <c r="F1728" s="48" t="n">
        <v>51750.07</v>
      </c>
      <c r="G1728" s="47" t="s">
        <v>53</v>
      </c>
      <c r="H1728" s="47" t="s">
        <v>41</v>
      </c>
      <c r="I1728" s="47" t="s">
        <v>86</v>
      </c>
      <c r="J1728" s="47" t="s">
        <v>28</v>
      </c>
      <c r="K1728" s="47" t="s">
        <v>33</v>
      </c>
    </row>
    <row r="1729" customFormat="false" ht="15" hidden="false" customHeight="false" outlineLevel="0" collapsed="false">
      <c r="A1729" s="0" t="s">
        <v>2737</v>
      </c>
      <c r="B1729" s="0" t="s">
        <v>755</v>
      </c>
      <c r="C1729" s="0" t="s">
        <v>2738</v>
      </c>
      <c r="D1729" s="46" t="n">
        <v>45845</v>
      </c>
      <c r="E1729" s="47" t="s">
        <v>60</v>
      </c>
      <c r="F1729" s="48" t="n">
        <v>163313.89</v>
      </c>
      <c r="G1729" s="47" t="s">
        <v>68</v>
      </c>
      <c r="H1729" s="47" t="s">
        <v>41</v>
      </c>
      <c r="I1729" s="47" t="s">
        <v>86</v>
      </c>
      <c r="J1729" s="47" t="s">
        <v>28</v>
      </c>
      <c r="K1729" s="47" t="s">
        <v>33</v>
      </c>
    </row>
    <row r="1730" customFormat="false" ht="15" hidden="false" customHeight="false" outlineLevel="0" collapsed="false">
      <c r="A1730" s="0" t="s">
        <v>2739</v>
      </c>
      <c r="B1730" s="0" t="s">
        <v>113</v>
      </c>
      <c r="D1730" s="46" t="n">
        <v>45963</v>
      </c>
      <c r="E1730" s="47" t="s">
        <v>60</v>
      </c>
      <c r="F1730" s="48" t="n">
        <v>136072.69</v>
      </c>
      <c r="G1730" s="47" t="s">
        <v>66</v>
      </c>
      <c r="H1730" s="47" t="s">
        <v>48</v>
      </c>
      <c r="I1730" s="47" t="s">
        <v>114</v>
      </c>
      <c r="J1730" s="47" t="s">
        <v>28</v>
      </c>
      <c r="K1730" s="47" t="s">
        <v>33</v>
      </c>
    </row>
    <row r="1731" customFormat="false" ht="15" hidden="false" customHeight="false" outlineLevel="0" collapsed="false">
      <c r="A1731" s="0" t="s">
        <v>2740</v>
      </c>
      <c r="B1731" s="0" t="s">
        <v>1604</v>
      </c>
      <c r="C1731" s="0" t="s">
        <v>2741</v>
      </c>
      <c r="D1731" s="46" t="n">
        <v>46152</v>
      </c>
      <c r="E1731" s="47" t="s">
        <v>55</v>
      </c>
      <c r="F1731" s="48" t="n">
        <v>109191.3</v>
      </c>
      <c r="G1731" s="47" t="s">
        <v>66</v>
      </c>
      <c r="H1731" s="47" t="s">
        <v>44</v>
      </c>
      <c r="I1731" s="47" t="s">
        <v>226</v>
      </c>
      <c r="J1731" s="47" t="s">
        <v>29</v>
      </c>
      <c r="K1731" s="47" t="s">
        <v>33</v>
      </c>
    </row>
    <row r="1732" customFormat="false" ht="15" hidden="false" customHeight="false" outlineLevel="0" collapsed="false">
      <c r="A1732" s="0" t="s">
        <v>2742</v>
      </c>
      <c r="B1732" s="0" t="s">
        <v>2743</v>
      </c>
      <c r="D1732" s="46" t="n">
        <v>46132</v>
      </c>
      <c r="E1732" s="47" t="s">
        <v>59</v>
      </c>
      <c r="F1732" s="48" t="n">
        <v>181643.52</v>
      </c>
      <c r="G1732" s="47" t="s">
        <v>65</v>
      </c>
      <c r="H1732" s="47" t="s">
        <v>48</v>
      </c>
      <c r="I1732" s="47" t="s">
        <v>111</v>
      </c>
      <c r="J1732" s="47" t="s">
        <v>28</v>
      </c>
      <c r="K1732" s="47" t="s">
        <v>33</v>
      </c>
    </row>
    <row r="1733" customFormat="false" ht="15" hidden="false" customHeight="false" outlineLevel="0" collapsed="false">
      <c r="A1733" s="0" t="s">
        <v>2744</v>
      </c>
      <c r="B1733" s="0" t="s">
        <v>2745</v>
      </c>
      <c r="D1733" s="46" t="n">
        <v>46073</v>
      </c>
      <c r="E1733" s="47" t="s">
        <v>62</v>
      </c>
      <c r="F1733" s="48" t="n">
        <v>73605.67</v>
      </c>
      <c r="G1733" s="47" t="s">
        <v>65</v>
      </c>
      <c r="H1733" s="47" t="s">
        <v>45</v>
      </c>
      <c r="I1733" s="47" t="s">
        <v>151</v>
      </c>
      <c r="J1733" s="47" t="s">
        <v>28</v>
      </c>
      <c r="K1733" s="47" t="s">
        <v>33</v>
      </c>
    </row>
    <row r="1734" customFormat="false" ht="15" hidden="false" customHeight="false" outlineLevel="0" collapsed="false">
      <c r="A1734" s="0" t="s">
        <v>2746</v>
      </c>
      <c r="B1734" s="0" t="s">
        <v>1308</v>
      </c>
      <c r="D1734" s="46" t="n">
        <v>46262</v>
      </c>
      <c r="E1734" s="47" t="s">
        <v>55</v>
      </c>
      <c r="F1734" s="48" t="n">
        <v>196912.59</v>
      </c>
      <c r="G1734" s="47" t="s">
        <v>68</v>
      </c>
      <c r="H1734" s="47" t="s">
        <v>48</v>
      </c>
      <c r="I1734" s="47" t="s">
        <v>111</v>
      </c>
      <c r="J1734" s="47" t="s">
        <v>28</v>
      </c>
      <c r="K1734" s="47" t="s">
        <v>34</v>
      </c>
    </row>
    <row r="1735" customFormat="false" ht="15" hidden="false" customHeight="false" outlineLevel="0" collapsed="false">
      <c r="A1735" s="0" t="s">
        <v>2747</v>
      </c>
      <c r="B1735" s="0" t="s">
        <v>571</v>
      </c>
      <c r="D1735" s="46" t="n">
        <v>45709</v>
      </c>
      <c r="E1735" s="47" t="s">
        <v>53</v>
      </c>
      <c r="F1735" s="48" t="n">
        <v>39663.61</v>
      </c>
      <c r="G1735" s="47" t="s">
        <v>65</v>
      </c>
      <c r="H1735" s="47" t="s">
        <v>43</v>
      </c>
      <c r="I1735" s="47" t="s">
        <v>201</v>
      </c>
      <c r="J1735" s="47" t="s">
        <v>28</v>
      </c>
      <c r="K1735" s="47" t="s">
        <v>34</v>
      </c>
    </row>
    <row r="1736" customFormat="false" ht="15" hidden="false" customHeight="false" outlineLevel="0" collapsed="false">
      <c r="A1736" s="0" t="s">
        <v>2748</v>
      </c>
      <c r="B1736" s="0" t="s">
        <v>833</v>
      </c>
      <c r="D1736" s="46" t="n">
        <v>45844</v>
      </c>
      <c r="E1736" s="47" t="s">
        <v>61</v>
      </c>
      <c r="F1736" s="48" t="n">
        <v>18631.48</v>
      </c>
      <c r="G1736" s="47" t="s">
        <v>66</v>
      </c>
      <c r="H1736" s="47" t="s">
        <v>39</v>
      </c>
      <c r="I1736" s="47" t="s">
        <v>177</v>
      </c>
      <c r="J1736" s="47" t="s">
        <v>28</v>
      </c>
      <c r="K1736" s="47" t="s">
        <v>34</v>
      </c>
    </row>
    <row r="1737" customFormat="false" ht="15" hidden="false" customHeight="false" outlineLevel="0" collapsed="false">
      <c r="A1737" s="0" t="s">
        <v>2749</v>
      </c>
      <c r="B1737" s="0" t="s">
        <v>382</v>
      </c>
      <c r="D1737" s="46" t="n">
        <v>45699</v>
      </c>
      <c r="E1737" s="47" t="s">
        <v>61</v>
      </c>
      <c r="F1737" s="48" t="n">
        <v>60143.14</v>
      </c>
      <c r="G1737" s="47" t="s">
        <v>53</v>
      </c>
      <c r="H1737" s="47" t="s">
        <v>43</v>
      </c>
      <c r="I1737" s="47" t="s">
        <v>201</v>
      </c>
      <c r="J1737" s="47" t="s">
        <v>28</v>
      </c>
      <c r="K1737" s="47" t="s">
        <v>34</v>
      </c>
    </row>
    <row r="1738" customFormat="false" ht="15" hidden="false" customHeight="false" outlineLevel="0" collapsed="false">
      <c r="A1738" s="0" t="s">
        <v>2750</v>
      </c>
      <c r="B1738" s="0" t="s">
        <v>2570</v>
      </c>
      <c r="D1738" s="46" t="n">
        <v>45661</v>
      </c>
      <c r="E1738" s="47" t="s">
        <v>62</v>
      </c>
      <c r="F1738" s="48" t="n">
        <v>180853.95</v>
      </c>
      <c r="G1738" s="47" t="s">
        <v>57</v>
      </c>
      <c r="H1738" s="47" t="s">
        <v>46</v>
      </c>
      <c r="I1738" s="47" t="s">
        <v>148</v>
      </c>
      <c r="J1738" s="47" t="s">
        <v>28</v>
      </c>
      <c r="K1738" s="47" t="s">
        <v>34</v>
      </c>
    </row>
    <row r="1739" customFormat="false" ht="15" hidden="false" customHeight="false" outlineLevel="0" collapsed="false">
      <c r="A1739" s="0" t="s">
        <v>2751</v>
      </c>
      <c r="B1739" s="0" t="s">
        <v>267</v>
      </c>
      <c r="D1739" s="46" t="n">
        <v>45985</v>
      </c>
      <c r="E1739" s="47" t="s">
        <v>62</v>
      </c>
      <c r="F1739" s="48" t="n">
        <v>149999.46</v>
      </c>
      <c r="G1739" s="47" t="s">
        <v>66</v>
      </c>
      <c r="H1739" s="47" t="s">
        <v>46</v>
      </c>
      <c r="I1739" s="47" t="s">
        <v>242</v>
      </c>
      <c r="J1739" s="47" t="s">
        <v>28</v>
      </c>
      <c r="K1739" s="47" t="s">
        <v>34</v>
      </c>
    </row>
    <row r="1740" customFormat="false" ht="15" hidden="false" customHeight="false" outlineLevel="0" collapsed="false">
      <c r="A1740" s="0" t="s">
        <v>2752</v>
      </c>
      <c r="B1740" s="0" t="s">
        <v>1148</v>
      </c>
      <c r="D1740" s="46" t="n">
        <v>45937</v>
      </c>
      <c r="E1740" s="47" t="s">
        <v>60</v>
      </c>
      <c r="F1740" s="48" t="n">
        <v>3619.89</v>
      </c>
      <c r="G1740" s="47" t="s">
        <v>53</v>
      </c>
      <c r="H1740" s="47" t="s">
        <v>40</v>
      </c>
      <c r="I1740" s="47" t="s">
        <v>253</v>
      </c>
      <c r="J1740" s="47" t="s">
        <v>29</v>
      </c>
      <c r="K1740" s="47" t="s">
        <v>33</v>
      </c>
    </row>
    <row r="1741" customFormat="false" ht="15" hidden="false" customHeight="false" outlineLevel="0" collapsed="false">
      <c r="A1741" s="0" t="s">
        <v>2753</v>
      </c>
      <c r="B1741" s="0" t="s">
        <v>531</v>
      </c>
      <c r="D1741" s="46" t="n">
        <v>46138</v>
      </c>
      <c r="E1741" s="47" t="s">
        <v>62</v>
      </c>
      <c r="F1741" s="48" t="n">
        <v>151719.71</v>
      </c>
      <c r="G1741" s="47" t="s">
        <v>57</v>
      </c>
      <c r="H1741" s="47" t="s">
        <v>41</v>
      </c>
      <c r="I1741" s="47" t="s">
        <v>86</v>
      </c>
      <c r="J1741" s="47" t="s">
        <v>30</v>
      </c>
      <c r="K1741" s="47" t="s">
        <v>33</v>
      </c>
    </row>
    <row r="1742" customFormat="false" ht="15" hidden="false" customHeight="false" outlineLevel="0" collapsed="false">
      <c r="A1742" s="0" t="s">
        <v>2754</v>
      </c>
      <c r="B1742" s="0" t="s">
        <v>1541</v>
      </c>
      <c r="D1742" s="46" t="n">
        <v>45945</v>
      </c>
      <c r="E1742" s="47" t="s">
        <v>59</v>
      </c>
      <c r="F1742" s="48" t="n">
        <v>168438.02</v>
      </c>
      <c r="G1742" s="47" t="s">
        <v>68</v>
      </c>
      <c r="H1742" s="47" t="s">
        <v>48</v>
      </c>
      <c r="I1742" s="47" t="s">
        <v>212</v>
      </c>
      <c r="J1742" s="47" t="s">
        <v>28</v>
      </c>
      <c r="K1742" s="47" t="s">
        <v>34</v>
      </c>
    </row>
    <row r="1743" customFormat="false" ht="15" hidden="false" customHeight="false" outlineLevel="0" collapsed="false">
      <c r="A1743" s="0" t="s">
        <v>2755</v>
      </c>
      <c r="B1743" s="0" t="s">
        <v>2267</v>
      </c>
      <c r="D1743" s="46" t="n">
        <v>45895</v>
      </c>
      <c r="E1743" s="47" t="s">
        <v>62</v>
      </c>
      <c r="F1743" s="48" t="n">
        <v>13599.05</v>
      </c>
      <c r="G1743" s="47" t="s">
        <v>66</v>
      </c>
      <c r="H1743" s="47" t="s">
        <v>47</v>
      </c>
      <c r="I1743" s="47" t="s">
        <v>166</v>
      </c>
      <c r="J1743" s="47" t="s">
        <v>28</v>
      </c>
      <c r="K1743" s="47" t="s">
        <v>33</v>
      </c>
    </row>
    <row r="1744" customFormat="false" ht="15" hidden="false" customHeight="false" outlineLevel="0" collapsed="false">
      <c r="A1744" s="0" t="s">
        <v>2756</v>
      </c>
      <c r="B1744" s="0" t="s">
        <v>134</v>
      </c>
      <c r="D1744" s="46" t="n">
        <v>46003</v>
      </c>
      <c r="E1744" s="47" t="s">
        <v>59</v>
      </c>
      <c r="F1744" s="48" t="n">
        <v>71133.5</v>
      </c>
      <c r="G1744" s="47" t="s">
        <v>68</v>
      </c>
      <c r="H1744" s="47" t="s">
        <v>48</v>
      </c>
      <c r="I1744" s="47" t="s">
        <v>114</v>
      </c>
      <c r="J1744" s="47" t="s">
        <v>28</v>
      </c>
      <c r="K1744" s="47" t="s">
        <v>34</v>
      </c>
    </row>
    <row r="1745" customFormat="false" ht="15" hidden="false" customHeight="false" outlineLevel="0" collapsed="false">
      <c r="A1745" s="0" t="s">
        <v>2757</v>
      </c>
      <c r="B1745" s="0" t="s">
        <v>160</v>
      </c>
      <c r="C1745" s="0" t="s">
        <v>2758</v>
      </c>
      <c r="D1745" s="46" t="n">
        <v>46289</v>
      </c>
      <c r="E1745" s="47" t="s">
        <v>59</v>
      </c>
      <c r="F1745" s="48" t="n">
        <v>20550.12</v>
      </c>
      <c r="G1745" s="47" t="s">
        <v>57</v>
      </c>
      <c r="H1745" s="47" t="s">
        <v>44</v>
      </c>
      <c r="I1745" s="47" t="s">
        <v>132</v>
      </c>
      <c r="J1745" s="47" t="s">
        <v>28</v>
      </c>
      <c r="K1745" s="47" t="s">
        <v>34</v>
      </c>
    </row>
    <row r="1746" customFormat="false" ht="15" hidden="false" customHeight="false" outlineLevel="0" collapsed="false">
      <c r="A1746" s="0" t="s">
        <v>2759</v>
      </c>
      <c r="B1746" s="0" t="s">
        <v>2760</v>
      </c>
      <c r="D1746" s="46" t="n">
        <v>46271</v>
      </c>
      <c r="E1746" s="47" t="s">
        <v>55</v>
      </c>
      <c r="F1746" s="48" t="n">
        <v>17682.88</v>
      </c>
      <c r="G1746" s="47" t="s">
        <v>65</v>
      </c>
      <c r="H1746" s="47" t="s">
        <v>45</v>
      </c>
      <c r="I1746" s="47" t="s">
        <v>95</v>
      </c>
      <c r="J1746" s="47" t="s">
        <v>28</v>
      </c>
      <c r="K1746" s="47" t="s">
        <v>33</v>
      </c>
    </row>
    <row r="1747" customFormat="false" ht="15" hidden="false" customHeight="false" outlineLevel="0" collapsed="false">
      <c r="A1747" s="0" t="s">
        <v>2761</v>
      </c>
      <c r="B1747" s="0" t="s">
        <v>2762</v>
      </c>
      <c r="D1747" s="46" t="n">
        <v>45694</v>
      </c>
      <c r="E1747" s="47" t="s">
        <v>59</v>
      </c>
      <c r="F1747" s="48" t="n">
        <v>54541.2</v>
      </c>
      <c r="G1747" s="47" t="s">
        <v>68</v>
      </c>
      <c r="H1747" s="47" t="s">
        <v>48</v>
      </c>
      <c r="I1747" s="47" t="s">
        <v>114</v>
      </c>
      <c r="J1747" s="47" t="s">
        <v>28</v>
      </c>
      <c r="K1747" s="47" t="s">
        <v>33</v>
      </c>
    </row>
    <row r="1748" customFormat="false" ht="15" hidden="false" customHeight="false" outlineLevel="0" collapsed="false">
      <c r="A1748" s="0" t="s">
        <v>2763</v>
      </c>
      <c r="B1748" s="0" t="s">
        <v>1289</v>
      </c>
      <c r="D1748" s="46" t="n">
        <v>46290</v>
      </c>
      <c r="E1748" s="47" t="s">
        <v>62</v>
      </c>
      <c r="F1748" s="48" t="n">
        <v>23521.29</v>
      </c>
      <c r="G1748" s="47" t="s">
        <v>65</v>
      </c>
      <c r="H1748" s="47" t="s">
        <v>46</v>
      </c>
      <c r="I1748" s="47" t="s">
        <v>121</v>
      </c>
      <c r="J1748" s="47" t="s">
        <v>28</v>
      </c>
      <c r="K1748" s="47" t="s">
        <v>33</v>
      </c>
    </row>
    <row r="1749" customFormat="false" ht="15" hidden="false" customHeight="false" outlineLevel="0" collapsed="false">
      <c r="A1749" s="0" t="s">
        <v>2764</v>
      </c>
      <c r="B1749" s="0" t="s">
        <v>2765</v>
      </c>
      <c r="D1749" s="46" t="n">
        <v>46040</v>
      </c>
      <c r="E1749" s="47" t="s">
        <v>59</v>
      </c>
      <c r="F1749" s="48" t="n">
        <v>185210.68</v>
      </c>
      <c r="G1749" s="47" t="s">
        <v>66</v>
      </c>
      <c r="H1749" s="47" t="s">
        <v>39</v>
      </c>
      <c r="I1749" s="47" t="s">
        <v>177</v>
      </c>
      <c r="J1749" s="47" t="s">
        <v>28</v>
      </c>
      <c r="K1749" s="47" t="s">
        <v>33</v>
      </c>
    </row>
    <row r="1750" customFormat="false" ht="15" hidden="false" customHeight="false" outlineLevel="0" collapsed="false">
      <c r="A1750" s="0" t="s">
        <v>2766</v>
      </c>
      <c r="B1750" s="0" t="s">
        <v>1559</v>
      </c>
      <c r="D1750" s="46" t="n">
        <v>45968</v>
      </c>
      <c r="E1750" s="47" t="s">
        <v>61</v>
      </c>
      <c r="F1750" s="48" t="n">
        <v>31102.75</v>
      </c>
      <c r="G1750" s="47" t="s">
        <v>66</v>
      </c>
      <c r="H1750" s="47" t="s">
        <v>46</v>
      </c>
      <c r="I1750" s="47" t="s">
        <v>242</v>
      </c>
      <c r="J1750" s="47" t="s">
        <v>28</v>
      </c>
      <c r="K1750" s="47" t="s">
        <v>34</v>
      </c>
    </row>
    <row r="1751" customFormat="false" ht="15" hidden="false" customHeight="false" outlineLevel="0" collapsed="false">
      <c r="A1751" s="0" t="s">
        <v>2767</v>
      </c>
      <c r="B1751" s="0" t="s">
        <v>1122</v>
      </c>
      <c r="D1751" s="46" t="n">
        <v>45806</v>
      </c>
      <c r="E1751" s="47" t="s">
        <v>62</v>
      </c>
      <c r="F1751" s="48" t="n">
        <v>168677.72</v>
      </c>
      <c r="G1751" s="47" t="s">
        <v>57</v>
      </c>
      <c r="H1751" s="47" t="s">
        <v>48</v>
      </c>
      <c r="I1751" s="47" t="s">
        <v>212</v>
      </c>
      <c r="J1751" s="47" t="s">
        <v>28</v>
      </c>
      <c r="K1751" s="47" t="s">
        <v>34</v>
      </c>
    </row>
    <row r="1752" customFormat="false" ht="15" hidden="false" customHeight="false" outlineLevel="0" collapsed="false">
      <c r="A1752" s="0" t="s">
        <v>2768</v>
      </c>
      <c r="B1752" s="0" t="s">
        <v>342</v>
      </c>
      <c r="D1752" s="46" t="n">
        <v>46148</v>
      </c>
      <c r="E1752" s="47" t="s">
        <v>55</v>
      </c>
      <c r="F1752" s="48" t="n">
        <v>191853.37</v>
      </c>
      <c r="G1752" s="47" t="s">
        <v>53</v>
      </c>
      <c r="H1752" s="47" t="s">
        <v>46</v>
      </c>
      <c r="I1752" s="47" t="s">
        <v>148</v>
      </c>
      <c r="J1752" s="47" t="s">
        <v>28</v>
      </c>
      <c r="K1752" s="47" t="s">
        <v>34</v>
      </c>
    </row>
    <row r="1753" customFormat="false" ht="15" hidden="false" customHeight="false" outlineLevel="0" collapsed="false">
      <c r="A1753" s="0" t="s">
        <v>2769</v>
      </c>
      <c r="B1753" s="0" t="s">
        <v>1738</v>
      </c>
      <c r="D1753" s="46" t="n">
        <v>45937</v>
      </c>
      <c r="E1753" s="47" t="s">
        <v>53</v>
      </c>
      <c r="F1753" s="48" t="n">
        <v>160370.41</v>
      </c>
      <c r="G1753" s="47" t="s">
        <v>57</v>
      </c>
      <c r="H1753" s="47" t="s">
        <v>47</v>
      </c>
      <c r="I1753" s="47" t="s">
        <v>166</v>
      </c>
      <c r="J1753" s="47" t="s">
        <v>28</v>
      </c>
      <c r="K1753" s="47" t="s">
        <v>33</v>
      </c>
    </row>
    <row r="1754" customFormat="false" ht="15" hidden="false" customHeight="false" outlineLevel="0" collapsed="false">
      <c r="A1754" s="0" t="s">
        <v>2770</v>
      </c>
      <c r="B1754" s="0" t="s">
        <v>749</v>
      </c>
      <c r="D1754" s="46" t="n">
        <v>46104</v>
      </c>
      <c r="E1754" s="47" t="s">
        <v>58</v>
      </c>
      <c r="F1754" s="48" t="n">
        <v>157886.04</v>
      </c>
      <c r="G1754" s="47" t="s">
        <v>68</v>
      </c>
      <c r="H1754" s="47" t="s">
        <v>47</v>
      </c>
      <c r="I1754" s="47" t="s">
        <v>166</v>
      </c>
      <c r="J1754" s="47" t="s">
        <v>28</v>
      </c>
      <c r="K1754" s="47" t="s">
        <v>34</v>
      </c>
    </row>
    <row r="1755" customFormat="false" ht="15" hidden="false" customHeight="false" outlineLevel="0" collapsed="false">
      <c r="A1755" s="0" t="s">
        <v>2771</v>
      </c>
      <c r="B1755" s="0" t="s">
        <v>160</v>
      </c>
      <c r="D1755" s="46" t="n">
        <v>45699</v>
      </c>
      <c r="E1755" s="47" t="s">
        <v>60</v>
      </c>
      <c r="F1755" s="48" t="n">
        <v>116507.69</v>
      </c>
      <c r="G1755" s="47" t="s">
        <v>53</v>
      </c>
      <c r="H1755" s="47" t="s">
        <v>44</v>
      </c>
      <c r="I1755" s="47" t="s">
        <v>132</v>
      </c>
      <c r="J1755" s="47" t="s">
        <v>28</v>
      </c>
      <c r="K1755" s="47" t="s">
        <v>33</v>
      </c>
    </row>
    <row r="1756" customFormat="false" ht="15" hidden="false" customHeight="false" outlineLevel="0" collapsed="false">
      <c r="A1756" s="0" t="s">
        <v>2772</v>
      </c>
      <c r="B1756" s="0" t="s">
        <v>952</v>
      </c>
      <c r="D1756" s="46" t="n">
        <v>45920</v>
      </c>
      <c r="E1756" s="47" t="s">
        <v>60</v>
      </c>
      <c r="F1756" s="48" t="n">
        <v>97141</v>
      </c>
      <c r="G1756" s="47" t="s">
        <v>66</v>
      </c>
      <c r="H1756" s="47" t="s">
        <v>40</v>
      </c>
      <c r="I1756" s="47" t="s">
        <v>89</v>
      </c>
      <c r="J1756" s="47" t="s">
        <v>28</v>
      </c>
      <c r="K1756" s="47" t="s">
        <v>33</v>
      </c>
    </row>
    <row r="1757" customFormat="false" ht="15" hidden="false" customHeight="false" outlineLevel="0" collapsed="false">
      <c r="A1757" s="0" t="s">
        <v>2773</v>
      </c>
      <c r="B1757" s="0" t="s">
        <v>679</v>
      </c>
      <c r="D1757" s="46" t="n">
        <v>46023</v>
      </c>
      <c r="E1757" s="47" t="s">
        <v>62</v>
      </c>
      <c r="F1757" s="48" t="n">
        <v>164952.32</v>
      </c>
      <c r="G1757" s="47" t="s">
        <v>53</v>
      </c>
      <c r="H1757" s="47" t="s">
        <v>46</v>
      </c>
      <c r="I1757" s="47" t="s">
        <v>148</v>
      </c>
      <c r="J1757" s="47" t="s">
        <v>28</v>
      </c>
      <c r="K1757" s="47" t="s">
        <v>33</v>
      </c>
    </row>
    <row r="1758" customFormat="false" ht="15" hidden="false" customHeight="false" outlineLevel="0" collapsed="false">
      <c r="A1758" s="0" t="s">
        <v>2774</v>
      </c>
      <c r="B1758" s="0" t="s">
        <v>2775</v>
      </c>
      <c r="D1758" s="46" t="n">
        <v>45850</v>
      </c>
      <c r="E1758" s="47" t="s">
        <v>61</v>
      </c>
      <c r="F1758" s="48" t="n">
        <v>120866.91</v>
      </c>
      <c r="G1758" s="47" t="s">
        <v>65</v>
      </c>
      <c r="H1758" s="47" t="s">
        <v>41</v>
      </c>
      <c r="I1758" s="47" t="s">
        <v>272</v>
      </c>
      <c r="J1758" s="47" t="s">
        <v>30</v>
      </c>
      <c r="K1758" s="47" t="s">
        <v>34</v>
      </c>
    </row>
    <row r="1759" customFormat="false" ht="15" hidden="false" customHeight="false" outlineLevel="0" collapsed="false">
      <c r="A1759" s="0" t="s">
        <v>2776</v>
      </c>
      <c r="B1759" s="0" t="s">
        <v>1187</v>
      </c>
      <c r="C1759" s="0" t="s">
        <v>1497</v>
      </c>
      <c r="D1759" s="46" t="n">
        <v>45692</v>
      </c>
      <c r="E1759" s="47" t="s">
        <v>58</v>
      </c>
      <c r="F1759" s="48" t="n">
        <v>73998.98</v>
      </c>
      <c r="G1759" s="47" t="s">
        <v>65</v>
      </c>
      <c r="H1759" s="47" t="s">
        <v>40</v>
      </c>
      <c r="I1759" s="47" t="s">
        <v>253</v>
      </c>
      <c r="J1759" s="47" t="s">
        <v>28</v>
      </c>
      <c r="K1759" s="47" t="s">
        <v>33</v>
      </c>
    </row>
    <row r="1760" customFormat="false" ht="15" hidden="false" customHeight="false" outlineLevel="0" collapsed="false">
      <c r="A1760" s="0" t="s">
        <v>2777</v>
      </c>
      <c r="B1760" s="0" t="s">
        <v>2745</v>
      </c>
      <c r="D1760" s="46" t="n">
        <v>46252</v>
      </c>
      <c r="E1760" s="47" t="s">
        <v>62</v>
      </c>
      <c r="F1760" s="48" t="n">
        <v>41047.59</v>
      </c>
      <c r="G1760" s="47" t="s">
        <v>65</v>
      </c>
      <c r="H1760" s="47" t="s">
        <v>45</v>
      </c>
      <c r="I1760" s="47" t="s">
        <v>151</v>
      </c>
      <c r="J1760" s="47" t="s">
        <v>28</v>
      </c>
      <c r="K1760" s="47" t="s">
        <v>34</v>
      </c>
    </row>
    <row r="1761" customFormat="false" ht="15" hidden="false" customHeight="false" outlineLevel="0" collapsed="false">
      <c r="A1761" s="0" t="s">
        <v>2778</v>
      </c>
      <c r="B1761" s="0" t="s">
        <v>489</v>
      </c>
      <c r="D1761" s="46" t="n">
        <v>46019</v>
      </c>
      <c r="E1761" s="47" t="s">
        <v>60</v>
      </c>
      <c r="F1761" s="48" t="n">
        <v>54748.54</v>
      </c>
      <c r="G1761" s="47" t="s">
        <v>57</v>
      </c>
      <c r="H1761" s="47" t="s">
        <v>41</v>
      </c>
      <c r="I1761" s="47" t="s">
        <v>272</v>
      </c>
      <c r="J1761" s="47" t="s">
        <v>28</v>
      </c>
      <c r="K1761" s="47" t="s">
        <v>34</v>
      </c>
    </row>
    <row r="1762" customFormat="false" ht="15" hidden="false" customHeight="false" outlineLevel="0" collapsed="false">
      <c r="A1762" s="0" t="s">
        <v>2779</v>
      </c>
      <c r="B1762" s="0" t="s">
        <v>376</v>
      </c>
      <c r="D1762" s="46" t="n">
        <v>45663</v>
      </c>
      <c r="E1762" s="47" t="s">
        <v>60</v>
      </c>
      <c r="F1762" s="48" t="n">
        <v>184216.8</v>
      </c>
      <c r="G1762" s="47" t="s">
        <v>57</v>
      </c>
      <c r="H1762" s="47" t="s">
        <v>44</v>
      </c>
      <c r="I1762" s="47" t="s">
        <v>80</v>
      </c>
      <c r="J1762" s="47" t="s">
        <v>28</v>
      </c>
      <c r="K1762" s="47" t="s">
        <v>34</v>
      </c>
    </row>
    <row r="1763" customFormat="false" ht="15" hidden="false" customHeight="false" outlineLevel="0" collapsed="false">
      <c r="A1763" s="0" t="s">
        <v>2780</v>
      </c>
      <c r="B1763" s="0" t="s">
        <v>2090</v>
      </c>
      <c r="D1763" s="46" t="n">
        <v>46118</v>
      </c>
      <c r="E1763" s="47" t="s">
        <v>60</v>
      </c>
      <c r="F1763" s="48" t="n">
        <v>64260.54</v>
      </c>
      <c r="G1763" s="47" t="s">
        <v>66</v>
      </c>
      <c r="H1763" s="47" t="s">
        <v>47</v>
      </c>
      <c r="I1763" s="47" t="s">
        <v>108</v>
      </c>
      <c r="J1763" s="47" t="s">
        <v>28</v>
      </c>
      <c r="K1763" s="47" t="s">
        <v>34</v>
      </c>
    </row>
    <row r="1764" customFormat="false" ht="15" hidden="false" customHeight="false" outlineLevel="0" collapsed="false">
      <c r="A1764" s="0" t="s">
        <v>2781</v>
      </c>
      <c r="B1764" s="0" t="s">
        <v>1134</v>
      </c>
      <c r="D1764" s="46" t="n">
        <v>45677</v>
      </c>
      <c r="E1764" s="47" t="s">
        <v>59</v>
      </c>
      <c r="F1764" s="48" t="n">
        <v>108251.83</v>
      </c>
      <c r="G1764" s="47" t="s">
        <v>66</v>
      </c>
      <c r="H1764" s="47" t="s">
        <v>48</v>
      </c>
      <c r="I1764" s="47" t="s">
        <v>114</v>
      </c>
      <c r="J1764" s="47" t="s">
        <v>28</v>
      </c>
      <c r="K1764" s="47" t="s">
        <v>34</v>
      </c>
    </row>
    <row r="1765" customFormat="false" ht="15" hidden="false" customHeight="false" outlineLevel="0" collapsed="false">
      <c r="A1765" s="0" t="s">
        <v>2782</v>
      </c>
      <c r="B1765" s="0" t="s">
        <v>991</v>
      </c>
      <c r="D1765" s="46" t="n">
        <v>45931</v>
      </c>
      <c r="E1765" s="47" t="s">
        <v>53</v>
      </c>
      <c r="F1765" s="48" t="n">
        <v>95405.12</v>
      </c>
      <c r="G1765" s="47" t="s">
        <v>53</v>
      </c>
      <c r="H1765" s="47" t="s">
        <v>47</v>
      </c>
      <c r="I1765" s="47" t="s">
        <v>245</v>
      </c>
      <c r="J1765" s="47" t="s">
        <v>28</v>
      </c>
      <c r="K1765" s="47" t="s">
        <v>34</v>
      </c>
    </row>
    <row r="1766" customFormat="false" ht="15" hidden="false" customHeight="false" outlineLevel="0" collapsed="false">
      <c r="A1766" s="0" t="s">
        <v>2783</v>
      </c>
      <c r="B1766" s="0" t="s">
        <v>1898</v>
      </c>
      <c r="D1766" s="46" t="n">
        <v>45993</v>
      </c>
      <c r="E1766" s="47" t="s">
        <v>59</v>
      </c>
      <c r="F1766" s="48" t="n">
        <v>40311.83</v>
      </c>
      <c r="G1766" s="47" t="s">
        <v>68</v>
      </c>
      <c r="H1766" s="47" t="s">
        <v>43</v>
      </c>
      <c r="I1766" s="47" t="s">
        <v>201</v>
      </c>
      <c r="J1766" s="47" t="s">
        <v>30</v>
      </c>
      <c r="K1766" s="47" t="s">
        <v>33</v>
      </c>
    </row>
    <row r="1767" customFormat="false" ht="15" hidden="false" customHeight="false" outlineLevel="0" collapsed="false">
      <c r="A1767" s="0" t="s">
        <v>2784</v>
      </c>
      <c r="B1767" s="0" t="s">
        <v>506</v>
      </c>
      <c r="C1767" s="0" t="s">
        <v>2785</v>
      </c>
      <c r="D1767" s="46" t="n">
        <v>46281</v>
      </c>
      <c r="E1767" s="47" t="s">
        <v>62</v>
      </c>
      <c r="F1767" s="48" t="n">
        <v>23392.13</v>
      </c>
      <c r="G1767" s="47" t="s">
        <v>53</v>
      </c>
      <c r="H1767" s="47" t="s">
        <v>40</v>
      </c>
      <c r="I1767" s="47" t="s">
        <v>89</v>
      </c>
      <c r="J1767" s="47" t="s">
        <v>28</v>
      </c>
      <c r="K1767" s="47" t="s">
        <v>33</v>
      </c>
    </row>
    <row r="1768" customFormat="false" ht="15" hidden="false" customHeight="false" outlineLevel="0" collapsed="false">
      <c r="A1768" s="0" t="s">
        <v>2786</v>
      </c>
      <c r="B1768" s="0" t="s">
        <v>1957</v>
      </c>
      <c r="C1768" s="0" t="s">
        <v>2787</v>
      </c>
      <c r="D1768" s="46" t="n">
        <v>45873</v>
      </c>
      <c r="E1768" s="47" t="s">
        <v>61</v>
      </c>
      <c r="F1768" s="48" t="n">
        <v>75681.26</v>
      </c>
      <c r="G1768" s="47" t="s">
        <v>57</v>
      </c>
      <c r="H1768" s="47" t="s">
        <v>48</v>
      </c>
      <c r="I1768" s="47" t="s">
        <v>111</v>
      </c>
      <c r="J1768" s="47" t="s">
        <v>28</v>
      </c>
      <c r="K1768" s="47" t="s">
        <v>34</v>
      </c>
    </row>
    <row r="1769" customFormat="false" ht="15" hidden="false" customHeight="false" outlineLevel="0" collapsed="false">
      <c r="A1769" s="0" t="s">
        <v>2788</v>
      </c>
      <c r="B1769" s="0" t="s">
        <v>1091</v>
      </c>
      <c r="D1769" s="46" t="n">
        <v>45741</v>
      </c>
      <c r="E1769" s="47" t="s">
        <v>58</v>
      </c>
      <c r="F1769" s="48" t="n">
        <v>43623.45</v>
      </c>
      <c r="G1769" s="47" t="s">
        <v>53</v>
      </c>
      <c r="H1769" s="47" t="s">
        <v>43</v>
      </c>
      <c r="I1769" s="47" t="s">
        <v>102</v>
      </c>
      <c r="J1769" s="47" t="s">
        <v>28</v>
      </c>
      <c r="K1769" s="47" t="s">
        <v>33</v>
      </c>
    </row>
    <row r="1770" customFormat="false" ht="15" hidden="false" customHeight="false" outlineLevel="0" collapsed="false">
      <c r="A1770" s="0" t="s">
        <v>2789</v>
      </c>
      <c r="B1770" s="0" t="s">
        <v>2195</v>
      </c>
      <c r="C1770" s="0" t="s">
        <v>2482</v>
      </c>
      <c r="D1770" s="46" t="n">
        <v>45828</v>
      </c>
      <c r="E1770" s="47" t="s">
        <v>61</v>
      </c>
      <c r="F1770" s="48" t="n">
        <v>70033.49</v>
      </c>
      <c r="G1770" s="47" t="s">
        <v>68</v>
      </c>
      <c r="H1770" s="47" t="s">
        <v>40</v>
      </c>
      <c r="I1770" s="47" t="s">
        <v>83</v>
      </c>
      <c r="J1770" s="47" t="s">
        <v>28</v>
      </c>
      <c r="K1770" s="47" t="s">
        <v>33</v>
      </c>
    </row>
    <row r="1771" customFormat="false" ht="15" hidden="false" customHeight="false" outlineLevel="0" collapsed="false">
      <c r="A1771" s="0" t="s">
        <v>2790</v>
      </c>
      <c r="B1771" s="0" t="s">
        <v>2346</v>
      </c>
      <c r="D1771" s="46" t="n">
        <v>46101</v>
      </c>
      <c r="E1771" s="47" t="s">
        <v>62</v>
      </c>
      <c r="F1771" s="48" t="n">
        <v>112140.87</v>
      </c>
      <c r="G1771" s="47" t="s">
        <v>53</v>
      </c>
      <c r="H1771" s="47" t="s">
        <v>45</v>
      </c>
      <c r="I1771" s="47" t="s">
        <v>217</v>
      </c>
      <c r="J1771" s="47" t="s">
        <v>30</v>
      </c>
      <c r="K1771" s="47" t="s">
        <v>34</v>
      </c>
    </row>
    <row r="1772" customFormat="false" ht="15" hidden="false" customHeight="false" outlineLevel="0" collapsed="false">
      <c r="A1772" s="0" t="s">
        <v>2791</v>
      </c>
      <c r="B1772" s="0" t="s">
        <v>388</v>
      </c>
      <c r="D1772" s="46" t="n">
        <v>45710</v>
      </c>
      <c r="E1772" s="47" t="s">
        <v>53</v>
      </c>
      <c r="F1772" s="48" t="n">
        <v>99175.32</v>
      </c>
      <c r="G1772" s="47" t="s">
        <v>66</v>
      </c>
      <c r="H1772" s="47" t="s">
        <v>41</v>
      </c>
      <c r="I1772" s="47" t="s">
        <v>272</v>
      </c>
      <c r="J1772" s="47" t="s">
        <v>28</v>
      </c>
      <c r="K1772" s="47" t="s">
        <v>33</v>
      </c>
    </row>
    <row r="1773" customFormat="false" ht="15" hidden="false" customHeight="false" outlineLevel="0" collapsed="false">
      <c r="A1773" s="0" t="s">
        <v>2792</v>
      </c>
      <c r="B1773" s="0" t="s">
        <v>718</v>
      </c>
      <c r="D1773" s="46" t="n">
        <v>45962</v>
      </c>
      <c r="E1773" s="47" t="s">
        <v>55</v>
      </c>
      <c r="F1773" s="48" t="n">
        <v>51173.24</v>
      </c>
      <c r="G1773" s="47" t="s">
        <v>53</v>
      </c>
      <c r="H1773" s="47" t="s">
        <v>42</v>
      </c>
      <c r="I1773" s="47" t="s">
        <v>398</v>
      </c>
      <c r="J1773" s="47" t="s">
        <v>28</v>
      </c>
      <c r="K1773" s="47" t="s">
        <v>34</v>
      </c>
    </row>
    <row r="1774" customFormat="false" ht="15" hidden="false" customHeight="false" outlineLevel="0" collapsed="false">
      <c r="A1774" s="0" t="s">
        <v>2793</v>
      </c>
      <c r="B1774" s="0" t="s">
        <v>1435</v>
      </c>
      <c r="D1774" s="46" t="n">
        <v>46144</v>
      </c>
      <c r="E1774" s="47" t="s">
        <v>53</v>
      </c>
      <c r="F1774" s="48" t="n">
        <v>49587.42</v>
      </c>
      <c r="G1774" s="47" t="s">
        <v>57</v>
      </c>
      <c r="H1774" s="47" t="s">
        <v>39</v>
      </c>
      <c r="I1774" s="47" t="s">
        <v>145</v>
      </c>
      <c r="J1774" s="47" t="s">
        <v>29</v>
      </c>
      <c r="K1774" s="47" t="s">
        <v>34</v>
      </c>
    </row>
    <row r="1775" customFormat="false" ht="15" hidden="false" customHeight="false" outlineLevel="0" collapsed="false">
      <c r="A1775" s="0" t="s">
        <v>2794</v>
      </c>
      <c r="B1775" s="0" t="s">
        <v>2795</v>
      </c>
      <c r="C1775" s="0" t="s">
        <v>2796</v>
      </c>
      <c r="D1775" s="46" t="n">
        <v>46087</v>
      </c>
      <c r="E1775" s="47" t="s">
        <v>61</v>
      </c>
      <c r="F1775" s="48" t="n">
        <v>22659.96</v>
      </c>
      <c r="G1775" s="47" t="s">
        <v>65</v>
      </c>
      <c r="H1775" s="47" t="s">
        <v>42</v>
      </c>
      <c r="I1775" s="47" t="s">
        <v>105</v>
      </c>
      <c r="J1775" s="47" t="s">
        <v>28</v>
      </c>
      <c r="K1775" s="47" t="s">
        <v>34</v>
      </c>
    </row>
    <row r="1776" customFormat="false" ht="15" hidden="false" customHeight="false" outlineLevel="0" collapsed="false">
      <c r="A1776" s="0" t="s">
        <v>2797</v>
      </c>
      <c r="B1776" s="0" t="s">
        <v>1104</v>
      </c>
      <c r="C1776" s="0" t="s">
        <v>2798</v>
      </c>
      <c r="D1776" s="46" t="n">
        <v>46132</v>
      </c>
      <c r="E1776" s="47" t="s">
        <v>55</v>
      </c>
      <c r="F1776" s="48" t="n">
        <v>103726.5</v>
      </c>
      <c r="G1776" s="47" t="s">
        <v>53</v>
      </c>
      <c r="H1776" s="47" t="s">
        <v>39</v>
      </c>
      <c r="I1776" s="47" t="s">
        <v>98</v>
      </c>
      <c r="J1776" s="47" t="s">
        <v>28</v>
      </c>
      <c r="K1776" s="47" t="s">
        <v>34</v>
      </c>
    </row>
    <row r="1777" customFormat="false" ht="15" hidden="false" customHeight="false" outlineLevel="0" collapsed="false">
      <c r="A1777" s="0" t="s">
        <v>2799</v>
      </c>
      <c r="B1777" s="0" t="s">
        <v>79</v>
      </c>
      <c r="D1777" s="46" t="n">
        <v>45838</v>
      </c>
      <c r="E1777" s="47" t="s">
        <v>58</v>
      </c>
      <c r="F1777" s="48" t="n">
        <v>196525.66</v>
      </c>
      <c r="G1777" s="47" t="s">
        <v>57</v>
      </c>
      <c r="H1777" s="47" t="s">
        <v>44</v>
      </c>
      <c r="I1777" s="47" t="s">
        <v>80</v>
      </c>
      <c r="J1777" s="47" t="s">
        <v>28</v>
      </c>
      <c r="K1777" s="47" t="s">
        <v>33</v>
      </c>
    </row>
    <row r="1778" customFormat="false" ht="15" hidden="false" customHeight="false" outlineLevel="0" collapsed="false">
      <c r="A1778" s="0" t="s">
        <v>2800</v>
      </c>
      <c r="B1778" s="0" t="s">
        <v>1401</v>
      </c>
      <c r="D1778" s="46" t="n">
        <v>46281</v>
      </c>
      <c r="E1778" s="47" t="s">
        <v>55</v>
      </c>
      <c r="F1778" s="48" t="n">
        <v>195880.3</v>
      </c>
      <c r="G1778" s="47" t="s">
        <v>65</v>
      </c>
      <c r="H1778" s="47" t="s">
        <v>47</v>
      </c>
      <c r="I1778" s="47" t="s">
        <v>108</v>
      </c>
      <c r="J1778" s="47" t="s">
        <v>28</v>
      </c>
      <c r="K1778" s="47" t="s">
        <v>34</v>
      </c>
    </row>
    <row r="1779" customFormat="false" ht="15" hidden="false" customHeight="false" outlineLevel="0" collapsed="false">
      <c r="A1779" s="0" t="s">
        <v>2801</v>
      </c>
      <c r="B1779" s="0" t="s">
        <v>1682</v>
      </c>
      <c r="D1779" s="46" t="n">
        <v>45925</v>
      </c>
      <c r="E1779" s="47" t="s">
        <v>59</v>
      </c>
      <c r="F1779" s="48" t="n">
        <v>104632.26</v>
      </c>
      <c r="G1779" s="47" t="s">
        <v>68</v>
      </c>
      <c r="H1779" s="47" t="s">
        <v>44</v>
      </c>
      <c r="I1779" s="47" t="s">
        <v>132</v>
      </c>
      <c r="J1779" s="47" t="s">
        <v>28</v>
      </c>
      <c r="K1779" s="47" t="s">
        <v>34</v>
      </c>
    </row>
    <row r="1780" customFormat="false" ht="15" hidden="false" customHeight="false" outlineLevel="0" collapsed="false">
      <c r="A1780" s="0" t="s">
        <v>2802</v>
      </c>
      <c r="B1780" s="0" t="s">
        <v>2803</v>
      </c>
      <c r="D1780" s="46" t="n">
        <v>45741</v>
      </c>
      <c r="E1780" s="47" t="s">
        <v>59</v>
      </c>
      <c r="F1780" s="48" t="n">
        <v>75385.89</v>
      </c>
      <c r="G1780" s="47" t="s">
        <v>57</v>
      </c>
      <c r="H1780" s="47" t="s">
        <v>48</v>
      </c>
      <c r="I1780" s="47" t="s">
        <v>114</v>
      </c>
      <c r="J1780" s="47" t="s">
        <v>28</v>
      </c>
      <c r="K1780" s="47" t="s">
        <v>34</v>
      </c>
    </row>
    <row r="1781" customFormat="false" ht="15" hidden="false" customHeight="false" outlineLevel="0" collapsed="false">
      <c r="A1781" s="0" t="s">
        <v>2804</v>
      </c>
      <c r="B1781" s="0" t="s">
        <v>2464</v>
      </c>
      <c r="C1781" s="0" t="s">
        <v>2465</v>
      </c>
      <c r="D1781" s="46" t="n">
        <v>45859</v>
      </c>
      <c r="E1781" s="47" t="s">
        <v>59</v>
      </c>
      <c r="F1781" s="48" t="n">
        <v>33317.14</v>
      </c>
      <c r="G1781" s="47" t="s">
        <v>66</v>
      </c>
      <c r="H1781" s="47" t="s">
        <v>48</v>
      </c>
      <c r="I1781" s="47" t="s">
        <v>114</v>
      </c>
      <c r="J1781" s="47" t="s">
        <v>28</v>
      </c>
      <c r="K1781" s="47" t="s">
        <v>34</v>
      </c>
    </row>
    <row r="1782" customFormat="false" ht="15" hidden="false" customHeight="false" outlineLevel="0" collapsed="false">
      <c r="A1782" s="0" t="s">
        <v>2805</v>
      </c>
      <c r="B1782" s="0" t="s">
        <v>2806</v>
      </c>
      <c r="D1782" s="46" t="n">
        <v>45836</v>
      </c>
      <c r="E1782" s="47" t="s">
        <v>59</v>
      </c>
      <c r="F1782" s="48" t="n">
        <v>80178.24</v>
      </c>
      <c r="G1782" s="47" t="s">
        <v>68</v>
      </c>
      <c r="H1782" s="47" t="s">
        <v>45</v>
      </c>
      <c r="I1782" s="47" t="s">
        <v>95</v>
      </c>
      <c r="J1782" s="47" t="s">
        <v>28</v>
      </c>
      <c r="K1782" s="47" t="s">
        <v>34</v>
      </c>
    </row>
    <row r="1783" customFormat="false" ht="15" hidden="false" customHeight="false" outlineLevel="0" collapsed="false">
      <c r="A1783" s="0" t="s">
        <v>2807</v>
      </c>
      <c r="B1783" s="0" t="s">
        <v>183</v>
      </c>
      <c r="D1783" s="46" t="n">
        <v>46214</v>
      </c>
      <c r="E1783" s="47" t="s">
        <v>59</v>
      </c>
      <c r="F1783" s="48" t="n">
        <v>173556.25</v>
      </c>
      <c r="G1783" s="47" t="s">
        <v>68</v>
      </c>
      <c r="H1783" s="47" t="s">
        <v>42</v>
      </c>
      <c r="I1783" s="47" t="s">
        <v>105</v>
      </c>
      <c r="J1783" s="47" t="s">
        <v>28</v>
      </c>
      <c r="K1783" s="47" t="s">
        <v>34</v>
      </c>
    </row>
    <row r="1784" customFormat="false" ht="15" hidden="false" customHeight="false" outlineLevel="0" collapsed="false">
      <c r="A1784" s="0" t="s">
        <v>2808</v>
      </c>
      <c r="B1784" s="0" t="s">
        <v>814</v>
      </c>
      <c r="D1784" s="46" t="n">
        <v>46236</v>
      </c>
      <c r="E1784" s="47" t="s">
        <v>61</v>
      </c>
      <c r="F1784" s="48" t="n">
        <v>123754.09</v>
      </c>
      <c r="G1784" s="47" t="s">
        <v>65</v>
      </c>
      <c r="H1784" s="47" t="s">
        <v>41</v>
      </c>
      <c r="I1784" s="47" t="s">
        <v>293</v>
      </c>
      <c r="J1784" s="47" t="s">
        <v>28</v>
      </c>
      <c r="K1784" s="47" t="s">
        <v>34</v>
      </c>
    </row>
    <row r="1785" customFormat="false" ht="15" hidden="false" customHeight="false" outlineLevel="0" collapsed="false">
      <c r="A1785" s="0" t="s">
        <v>2809</v>
      </c>
      <c r="B1785" s="0" t="s">
        <v>837</v>
      </c>
      <c r="D1785" s="46" t="n">
        <v>45928</v>
      </c>
      <c r="E1785" s="47" t="s">
        <v>61</v>
      </c>
      <c r="F1785" s="48" t="n">
        <v>123369.64</v>
      </c>
      <c r="G1785" s="47" t="s">
        <v>66</v>
      </c>
      <c r="H1785" s="47" t="s">
        <v>39</v>
      </c>
      <c r="I1785" s="47" t="s">
        <v>177</v>
      </c>
      <c r="J1785" s="47" t="s">
        <v>28</v>
      </c>
      <c r="K1785" s="47" t="s">
        <v>34</v>
      </c>
    </row>
    <row r="1786" customFormat="false" ht="15" hidden="false" customHeight="false" outlineLevel="0" collapsed="false">
      <c r="A1786" s="0" t="s">
        <v>2810</v>
      </c>
      <c r="B1786" s="0" t="s">
        <v>346</v>
      </c>
      <c r="D1786" s="46" t="n">
        <v>45663</v>
      </c>
      <c r="E1786" s="47" t="s">
        <v>59</v>
      </c>
      <c r="F1786" s="48" t="n">
        <v>141418.85</v>
      </c>
      <c r="G1786" s="47" t="s">
        <v>57</v>
      </c>
      <c r="H1786" s="47" t="s">
        <v>41</v>
      </c>
      <c r="I1786" s="47" t="s">
        <v>86</v>
      </c>
      <c r="J1786" s="47" t="s">
        <v>28</v>
      </c>
      <c r="K1786" s="47" t="s">
        <v>34</v>
      </c>
    </row>
    <row r="1787" customFormat="false" ht="15" hidden="false" customHeight="false" outlineLevel="0" collapsed="false">
      <c r="A1787" s="0" t="s">
        <v>2811</v>
      </c>
      <c r="B1787" s="0" t="s">
        <v>1178</v>
      </c>
      <c r="D1787" s="46" t="n">
        <v>46006</v>
      </c>
      <c r="E1787" s="47" t="s">
        <v>58</v>
      </c>
      <c r="F1787" s="48" t="n">
        <v>78291.2</v>
      </c>
      <c r="G1787" s="47" t="s">
        <v>57</v>
      </c>
      <c r="H1787" s="47" t="s">
        <v>39</v>
      </c>
      <c r="I1787" s="47" t="s">
        <v>98</v>
      </c>
      <c r="J1787" s="47" t="s">
        <v>28</v>
      </c>
      <c r="K1787" s="47" t="s">
        <v>33</v>
      </c>
    </row>
    <row r="1788" customFormat="false" ht="15" hidden="false" customHeight="false" outlineLevel="0" collapsed="false">
      <c r="A1788" s="0" t="s">
        <v>2812</v>
      </c>
      <c r="B1788" s="0" t="s">
        <v>1260</v>
      </c>
      <c r="D1788" s="46" t="n">
        <v>46111</v>
      </c>
      <c r="E1788" s="47" t="s">
        <v>53</v>
      </c>
      <c r="F1788" s="48" t="n">
        <v>186460.74</v>
      </c>
      <c r="G1788" s="47" t="s">
        <v>68</v>
      </c>
      <c r="H1788" s="47" t="s">
        <v>46</v>
      </c>
      <c r="I1788" s="47" t="s">
        <v>121</v>
      </c>
      <c r="J1788" s="47" t="s">
        <v>28</v>
      </c>
      <c r="K1788" s="47" t="s">
        <v>33</v>
      </c>
    </row>
    <row r="1789" customFormat="false" ht="15" hidden="false" customHeight="false" outlineLevel="0" collapsed="false">
      <c r="A1789" s="0" t="s">
        <v>2813</v>
      </c>
      <c r="B1789" s="0" t="s">
        <v>506</v>
      </c>
      <c r="C1789" s="0" t="s">
        <v>2785</v>
      </c>
      <c r="D1789" s="46" t="n">
        <v>46288</v>
      </c>
      <c r="E1789" s="47" t="s">
        <v>59</v>
      </c>
      <c r="F1789" s="48" t="n">
        <v>784.51</v>
      </c>
      <c r="G1789" s="47" t="s">
        <v>66</v>
      </c>
      <c r="H1789" s="47" t="s">
        <v>40</v>
      </c>
      <c r="I1789" s="47" t="s">
        <v>89</v>
      </c>
      <c r="J1789" s="47" t="s">
        <v>28</v>
      </c>
      <c r="K1789" s="47" t="s">
        <v>33</v>
      </c>
    </row>
    <row r="1790" customFormat="false" ht="15" hidden="false" customHeight="false" outlineLevel="0" collapsed="false">
      <c r="A1790" s="0" t="s">
        <v>2814</v>
      </c>
      <c r="B1790" s="0" t="s">
        <v>1960</v>
      </c>
      <c r="D1790" s="46" t="n">
        <v>45990</v>
      </c>
      <c r="E1790" s="47" t="s">
        <v>53</v>
      </c>
      <c r="F1790" s="48" t="n">
        <v>72184.85</v>
      </c>
      <c r="G1790" s="47" t="s">
        <v>68</v>
      </c>
      <c r="H1790" s="47" t="s">
        <v>43</v>
      </c>
      <c r="I1790" s="47" t="s">
        <v>117</v>
      </c>
      <c r="J1790" s="47" t="s">
        <v>28</v>
      </c>
      <c r="K1790" s="47" t="s">
        <v>33</v>
      </c>
    </row>
    <row r="1791" customFormat="false" ht="15" hidden="false" customHeight="false" outlineLevel="0" collapsed="false">
      <c r="A1791" s="0" t="s">
        <v>2815</v>
      </c>
      <c r="B1791" s="0" t="s">
        <v>2419</v>
      </c>
      <c r="D1791" s="46" t="n">
        <v>45837</v>
      </c>
      <c r="E1791" s="47" t="s">
        <v>58</v>
      </c>
      <c r="F1791" s="48" t="n">
        <v>105929.59</v>
      </c>
      <c r="G1791" s="47" t="s">
        <v>57</v>
      </c>
      <c r="H1791" s="47" t="s">
        <v>39</v>
      </c>
      <c r="I1791" s="47" t="s">
        <v>98</v>
      </c>
      <c r="J1791" s="47" t="s">
        <v>28</v>
      </c>
      <c r="K1791" s="47" t="s">
        <v>34</v>
      </c>
    </row>
    <row r="1792" customFormat="false" ht="15" hidden="false" customHeight="false" outlineLevel="0" collapsed="false">
      <c r="A1792" s="0" t="s">
        <v>2816</v>
      </c>
      <c r="B1792" s="0" t="s">
        <v>2775</v>
      </c>
      <c r="D1792" s="46" t="n">
        <v>45972</v>
      </c>
      <c r="E1792" s="47" t="s">
        <v>53</v>
      </c>
      <c r="F1792" s="48" t="n">
        <v>162958.18</v>
      </c>
      <c r="G1792" s="47" t="s">
        <v>65</v>
      </c>
      <c r="H1792" s="47" t="s">
        <v>41</v>
      </c>
      <c r="I1792" s="47" t="s">
        <v>272</v>
      </c>
      <c r="J1792" s="47" t="s">
        <v>28</v>
      </c>
      <c r="K1792" s="47" t="s">
        <v>33</v>
      </c>
    </row>
    <row r="1793" customFormat="false" ht="15" hidden="false" customHeight="false" outlineLevel="0" collapsed="false">
      <c r="A1793" s="0" t="s">
        <v>2817</v>
      </c>
      <c r="B1793" s="0" t="s">
        <v>593</v>
      </c>
      <c r="D1793" s="46" t="n">
        <v>46197</v>
      </c>
      <c r="E1793" s="47" t="s">
        <v>60</v>
      </c>
      <c r="F1793" s="48" t="n">
        <v>88509.73</v>
      </c>
      <c r="G1793" s="47" t="s">
        <v>68</v>
      </c>
      <c r="H1793" s="47" t="s">
        <v>43</v>
      </c>
      <c r="I1793" s="47" t="s">
        <v>102</v>
      </c>
      <c r="J1793" s="47" t="s">
        <v>28</v>
      </c>
      <c r="K1793" s="47" t="s">
        <v>33</v>
      </c>
    </row>
    <row r="1794" customFormat="false" ht="15" hidden="false" customHeight="false" outlineLevel="0" collapsed="false">
      <c r="A1794" s="0" t="s">
        <v>2818</v>
      </c>
      <c r="B1794" s="0" t="s">
        <v>123</v>
      </c>
      <c r="D1794" s="46" t="n">
        <v>45661</v>
      </c>
      <c r="E1794" s="47" t="s">
        <v>61</v>
      </c>
      <c r="F1794" s="48" t="n">
        <v>113582.64</v>
      </c>
      <c r="G1794" s="47" t="s">
        <v>65</v>
      </c>
      <c r="H1794" s="47" t="s">
        <v>39</v>
      </c>
      <c r="I1794" s="47" t="s">
        <v>98</v>
      </c>
      <c r="J1794" s="47" t="s">
        <v>28</v>
      </c>
      <c r="K1794" s="47" t="s">
        <v>33</v>
      </c>
    </row>
    <row r="1795" customFormat="false" ht="15" hidden="false" customHeight="false" outlineLevel="0" collapsed="false">
      <c r="A1795" s="0" t="s">
        <v>2819</v>
      </c>
      <c r="B1795" s="0" t="s">
        <v>1108</v>
      </c>
      <c r="D1795" s="46" t="n">
        <v>45705</v>
      </c>
      <c r="E1795" s="47" t="s">
        <v>60</v>
      </c>
      <c r="F1795" s="48" t="n">
        <v>105384.84</v>
      </c>
      <c r="G1795" s="47" t="s">
        <v>68</v>
      </c>
      <c r="H1795" s="47" t="s">
        <v>44</v>
      </c>
      <c r="I1795" s="47" t="s">
        <v>132</v>
      </c>
      <c r="J1795" s="47" t="s">
        <v>28</v>
      </c>
      <c r="K1795" s="47" t="s">
        <v>33</v>
      </c>
    </row>
    <row r="1796" customFormat="false" ht="15" hidden="false" customHeight="false" outlineLevel="0" collapsed="false">
      <c r="A1796" s="0" t="s">
        <v>2820</v>
      </c>
      <c r="B1796" s="0" t="s">
        <v>310</v>
      </c>
      <c r="D1796" s="46" t="n">
        <v>45872</v>
      </c>
      <c r="E1796" s="47" t="s">
        <v>59</v>
      </c>
      <c r="F1796" s="48" t="n">
        <v>50382.16</v>
      </c>
      <c r="G1796" s="47" t="s">
        <v>66</v>
      </c>
      <c r="H1796" s="47" t="s">
        <v>39</v>
      </c>
      <c r="I1796" s="47" t="s">
        <v>98</v>
      </c>
      <c r="J1796" s="47" t="s">
        <v>28</v>
      </c>
      <c r="K1796" s="47" t="s">
        <v>33</v>
      </c>
    </row>
    <row r="1797" customFormat="false" ht="15" hidden="false" customHeight="false" outlineLevel="0" collapsed="false">
      <c r="A1797" s="0" t="s">
        <v>2821</v>
      </c>
      <c r="B1797" s="0" t="s">
        <v>1527</v>
      </c>
      <c r="D1797" s="46" t="n">
        <v>46148</v>
      </c>
      <c r="E1797" s="47" t="s">
        <v>58</v>
      </c>
      <c r="F1797" s="48" t="n">
        <v>28037.94</v>
      </c>
      <c r="G1797" s="47" t="s">
        <v>66</v>
      </c>
      <c r="H1797" s="47" t="s">
        <v>41</v>
      </c>
      <c r="I1797" s="47" t="s">
        <v>272</v>
      </c>
      <c r="J1797" s="47" t="s">
        <v>28</v>
      </c>
      <c r="K1797" s="47" t="s">
        <v>34</v>
      </c>
    </row>
    <row r="1798" customFormat="false" ht="15" hidden="false" customHeight="false" outlineLevel="0" collapsed="false">
      <c r="A1798" s="0" t="s">
        <v>2822</v>
      </c>
      <c r="B1798" s="0" t="s">
        <v>1815</v>
      </c>
      <c r="D1798" s="46" t="n">
        <v>46221</v>
      </c>
      <c r="E1798" s="47" t="s">
        <v>60</v>
      </c>
      <c r="F1798" s="48" t="n">
        <v>45218.44</v>
      </c>
      <c r="G1798" s="47" t="s">
        <v>68</v>
      </c>
      <c r="H1798" s="47" t="s">
        <v>41</v>
      </c>
      <c r="I1798" s="47" t="s">
        <v>293</v>
      </c>
      <c r="J1798" s="47" t="s">
        <v>28</v>
      </c>
      <c r="K1798" s="47" t="s">
        <v>34</v>
      </c>
    </row>
    <row r="1799" customFormat="false" ht="15" hidden="false" customHeight="false" outlineLevel="0" collapsed="false">
      <c r="A1799" s="0" t="s">
        <v>2823</v>
      </c>
      <c r="B1799" s="0" t="s">
        <v>2824</v>
      </c>
      <c r="D1799" s="46" t="n">
        <v>45921</v>
      </c>
      <c r="E1799" s="47" t="s">
        <v>55</v>
      </c>
      <c r="F1799" s="48" t="n">
        <v>34399.87</v>
      </c>
      <c r="G1799" s="47" t="s">
        <v>66</v>
      </c>
      <c r="H1799" s="47" t="s">
        <v>46</v>
      </c>
      <c r="I1799" s="47" t="s">
        <v>121</v>
      </c>
      <c r="J1799" s="47" t="s">
        <v>29</v>
      </c>
      <c r="K1799" s="47" t="s">
        <v>34</v>
      </c>
    </row>
    <row r="1800" customFormat="false" ht="15" hidden="false" customHeight="false" outlineLevel="0" collapsed="false">
      <c r="A1800" s="0" t="s">
        <v>2825</v>
      </c>
      <c r="B1800" s="0" t="s">
        <v>134</v>
      </c>
      <c r="D1800" s="46" t="n">
        <v>45771</v>
      </c>
      <c r="E1800" s="47" t="s">
        <v>58</v>
      </c>
      <c r="F1800" s="48" t="n">
        <v>157018.97</v>
      </c>
      <c r="G1800" s="47" t="s">
        <v>66</v>
      </c>
      <c r="H1800" s="47" t="s">
        <v>48</v>
      </c>
      <c r="I1800" s="47" t="s">
        <v>114</v>
      </c>
      <c r="J1800" s="47" t="s">
        <v>29</v>
      </c>
      <c r="K1800" s="47" t="s">
        <v>33</v>
      </c>
    </row>
    <row r="1801" customFormat="false" ht="15" hidden="false" customHeight="false" outlineLevel="0" collapsed="false">
      <c r="A1801" s="0" t="s">
        <v>2826</v>
      </c>
      <c r="B1801" s="0" t="s">
        <v>2827</v>
      </c>
      <c r="D1801" s="46" t="n">
        <v>46130</v>
      </c>
      <c r="E1801" s="47" t="s">
        <v>55</v>
      </c>
      <c r="F1801" s="48" t="n">
        <v>147034.2</v>
      </c>
      <c r="G1801" s="47" t="s">
        <v>68</v>
      </c>
      <c r="H1801" s="47" t="s">
        <v>46</v>
      </c>
      <c r="I1801" s="47" t="s">
        <v>121</v>
      </c>
      <c r="J1801" s="47" t="s">
        <v>28</v>
      </c>
      <c r="K1801" s="47" t="s">
        <v>34</v>
      </c>
    </row>
    <row r="1802" customFormat="false" ht="15" hidden="false" customHeight="false" outlineLevel="0" collapsed="false">
      <c r="A1802" s="0" t="s">
        <v>2828</v>
      </c>
      <c r="B1802" s="0" t="s">
        <v>216</v>
      </c>
      <c r="D1802" s="46" t="n">
        <v>46256</v>
      </c>
      <c r="E1802" s="47" t="s">
        <v>61</v>
      </c>
      <c r="F1802" s="48" t="n">
        <v>83543.24</v>
      </c>
      <c r="G1802" s="47" t="s">
        <v>65</v>
      </c>
      <c r="H1802" s="47" t="s">
        <v>45</v>
      </c>
      <c r="I1802" s="47" t="s">
        <v>217</v>
      </c>
      <c r="J1802" s="47" t="s">
        <v>30</v>
      </c>
      <c r="K1802" s="47" t="s">
        <v>34</v>
      </c>
    </row>
    <row r="1803" customFormat="false" ht="15" hidden="false" customHeight="false" outlineLevel="0" collapsed="false">
      <c r="A1803" s="0" t="s">
        <v>2829</v>
      </c>
      <c r="B1803" s="0" t="s">
        <v>79</v>
      </c>
      <c r="C1803" s="0" t="s">
        <v>2830</v>
      </c>
      <c r="D1803" s="46" t="n">
        <v>45738</v>
      </c>
      <c r="E1803" s="47" t="s">
        <v>58</v>
      </c>
      <c r="F1803" s="48" t="n">
        <v>53203.42</v>
      </c>
      <c r="G1803" s="47" t="s">
        <v>65</v>
      </c>
      <c r="H1803" s="47" t="s">
        <v>44</v>
      </c>
      <c r="I1803" s="47" t="s">
        <v>80</v>
      </c>
      <c r="J1803" s="47" t="s">
        <v>28</v>
      </c>
      <c r="K1803" s="47" t="s">
        <v>34</v>
      </c>
    </row>
    <row r="1804" customFormat="false" ht="15" hidden="false" customHeight="false" outlineLevel="0" collapsed="false">
      <c r="A1804" s="0" t="s">
        <v>2831</v>
      </c>
      <c r="B1804" s="0" t="s">
        <v>2832</v>
      </c>
      <c r="D1804" s="46" t="n">
        <v>46231</v>
      </c>
      <c r="E1804" s="47" t="s">
        <v>59</v>
      </c>
      <c r="F1804" s="48" t="n">
        <v>56045.81</v>
      </c>
      <c r="G1804" s="47" t="s">
        <v>65</v>
      </c>
      <c r="H1804" s="47" t="s">
        <v>46</v>
      </c>
      <c r="I1804" s="47" t="s">
        <v>242</v>
      </c>
      <c r="J1804" s="47" t="s">
        <v>28</v>
      </c>
      <c r="K1804" s="47" t="s">
        <v>33</v>
      </c>
    </row>
    <row r="1805" customFormat="false" ht="15" hidden="false" customHeight="false" outlineLevel="0" collapsed="false">
      <c r="A1805" s="0" t="s">
        <v>2833</v>
      </c>
      <c r="B1805" s="0" t="s">
        <v>2834</v>
      </c>
      <c r="D1805" s="46" t="n">
        <v>46286</v>
      </c>
      <c r="E1805" s="47" t="s">
        <v>55</v>
      </c>
      <c r="F1805" s="48" t="n">
        <v>173785.78</v>
      </c>
      <c r="G1805" s="47" t="s">
        <v>65</v>
      </c>
      <c r="H1805" s="47" t="s">
        <v>40</v>
      </c>
      <c r="I1805" s="47" t="s">
        <v>83</v>
      </c>
      <c r="J1805" s="47" t="s">
        <v>28</v>
      </c>
      <c r="K1805" s="47" t="s">
        <v>34</v>
      </c>
    </row>
    <row r="1806" customFormat="false" ht="15" hidden="false" customHeight="false" outlineLevel="0" collapsed="false">
      <c r="A1806" s="0" t="s">
        <v>2835</v>
      </c>
      <c r="B1806" s="0" t="s">
        <v>1248</v>
      </c>
      <c r="D1806" s="46" t="n">
        <v>45749</v>
      </c>
      <c r="E1806" s="47" t="s">
        <v>60</v>
      </c>
      <c r="F1806" s="48" t="n">
        <v>129263.18</v>
      </c>
      <c r="G1806" s="47" t="s">
        <v>66</v>
      </c>
      <c r="H1806" s="47" t="s">
        <v>44</v>
      </c>
      <c r="I1806" s="47" t="s">
        <v>80</v>
      </c>
      <c r="J1806" s="47" t="s">
        <v>28</v>
      </c>
      <c r="K1806" s="47" t="s">
        <v>33</v>
      </c>
    </row>
    <row r="1807" customFormat="false" ht="15" hidden="false" customHeight="false" outlineLevel="0" collapsed="false">
      <c r="A1807" s="0" t="s">
        <v>2836</v>
      </c>
      <c r="B1807" s="0" t="s">
        <v>362</v>
      </c>
      <c r="D1807" s="46" t="n">
        <v>45940</v>
      </c>
      <c r="E1807" s="47" t="s">
        <v>62</v>
      </c>
      <c r="F1807" s="48" t="n">
        <v>120830.82</v>
      </c>
      <c r="G1807" s="47" t="s">
        <v>68</v>
      </c>
      <c r="H1807" s="47" t="s">
        <v>41</v>
      </c>
      <c r="I1807" s="47" t="s">
        <v>293</v>
      </c>
      <c r="J1807" s="47" t="s">
        <v>28</v>
      </c>
      <c r="K1807" s="47" t="s">
        <v>34</v>
      </c>
    </row>
    <row r="1808" customFormat="false" ht="15" hidden="false" customHeight="false" outlineLevel="0" collapsed="false">
      <c r="A1808" s="0" t="s">
        <v>2837</v>
      </c>
      <c r="B1808" s="0" t="s">
        <v>619</v>
      </c>
      <c r="D1808" s="46" t="n">
        <v>45831</v>
      </c>
      <c r="E1808" s="47" t="s">
        <v>60</v>
      </c>
      <c r="F1808" s="48" t="n">
        <v>7230.59</v>
      </c>
      <c r="G1808" s="47" t="s">
        <v>65</v>
      </c>
      <c r="H1808" s="47" t="s">
        <v>43</v>
      </c>
      <c r="I1808" s="47" t="s">
        <v>117</v>
      </c>
      <c r="J1808" s="47" t="s">
        <v>28</v>
      </c>
      <c r="K1808" s="47" t="s">
        <v>33</v>
      </c>
    </row>
    <row r="1809" customFormat="false" ht="15" hidden="false" customHeight="false" outlineLevel="0" collapsed="false">
      <c r="A1809" s="0" t="s">
        <v>2838</v>
      </c>
      <c r="B1809" s="0" t="s">
        <v>2018</v>
      </c>
      <c r="C1809" s="0" t="s">
        <v>2839</v>
      </c>
      <c r="D1809" s="46" t="n">
        <v>46162</v>
      </c>
      <c r="E1809" s="47" t="s">
        <v>62</v>
      </c>
      <c r="F1809" s="48" t="n">
        <v>6623.04</v>
      </c>
      <c r="G1809" s="47" t="s">
        <v>53</v>
      </c>
      <c r="H1809" s="47" t="s">
        <v>42</v>
      </c>
      <c r="I1809" s="47" t="s">
        <v>398</v>
      </c>
      <c r="J1809" s="47" t="s">
        <v>28</v>
      </c>
      <c r="K1809" s="47" t="s">
        <v>33</v>
      </c>
    </row>
    <row r="1810" customFormat="false" ht="15" hidden="false" customHeight="false" outlineLevel="0" collapsed="false">
      <c r="A1810" s="0" t="s">
        <v>2840</v>
      </c>
      <c r="B1810" s="0" t="s">
        <v>859</v>
      </c>
      <c r="C1810" s="0" t="s">
        <v>2841</v>
      </c>
      <c r="D1810" s="46" t="n">
        <v>45738</v>
      </c>
      <c r="E1810" s="47" t="s">
        <v>60</v>
      </c>
      <c r="F1810" s="48" t="n">
        <v>162232.01</v>
      </c>
      <c r="G1810" s="47" t="s">
        <v>53</v>
      </c>
      <c r="H1810" s="47" t="s">
        <v>43</v>
      </c>
      <c r="I1810" s="47" t="s">
        <v>117</v>
      </c>
      <c r="J1810" s="47" t="s">
        <v>28</v>
      </c>
      <c r="K1810" s="47" t="s">
        <v>34</v>
      </c>
    </row>
    <row r="1811" customFormat="false" ht="15" hidden="false" customHeight="false" outlineLevel="0" collapsed="false">
      <c r="A1811" s="0" t="s">
        <v>2842</v>
      </c>
      <c r="B1811" s="0" t="s">
        <v>1352</v>
      </c>
      <c r="D1811" s="46" t="n">
        <v>46060</v>
      </c>
      <c r="E1811" s="47" t="s">
        <v>60</v>
      </c>
      <c r="F1811" s="48" t="n">
        <v>123447.96</v>
      </c>
      <c r="G1811" s="47" t="s">
        <v>66</v>
      </c>
      <c r="H1811" s="47" t="s">
        <v>45</v>
      </c>
      <c r="I1811" s="47" t="s">
        <v>95</v>
      </c>
      <c r="J1811" s="47" t="s">
        <v>29</v>
      </c>
      <c r="K1811" s="47" t="s">
        <v>33</v>
      </c>
    </row>
    <row r="1812" customFormat="false" ht="15" hidden="false" customHeight="false" outlineLevel="0" collapsed="false">
      <c r="A1812" s="0" t="s">
        <v>2843</v>
      </c>
      <c r="B1812" s="0" t="s">
        <v>348</v>
      </c>
      <c r="D1812" s="46" t="n">
        <v>45737</v>
      </c>
      <c r="E1812" s="47" t="s">
        <v>59</v>
      </c>
      <c r="F1812" s="48" t="n">
        <v>142433.49</v>
      </c>
      <c r="G1812" s="47" t="s">
        <v>57</v>
      </c>
      <c r="H1812" s="47" t="s">
        <v>46</v>
      </c>
      <c r="I1812" s="47" t="s">
        <v>148</v>
      </c>
      <c r="J1812" s="47" t="s">
        <v>28</v>
      </c>
      <c r="K1812" s="47" t="s">
        <v>33</v>
      </c>
    </row>
    <row r="1813" customFormat="false" ht="15" hidden="false" customHeight="false" outlineLevel="0" collapsed="false">
      <c r="A1813" s="0" t="s">
        <v>2844</v>
      </c>
      <c r="B1813" s="0" t="s">
        <v>1254</v>
      </c>
      <c r="D1813" s="46" t="n">
        <v>46202</v>
      </c>
      <c r="E1813" s="47" t="s">
        <v>58</v>
      </c>
      <c r="F1813" s="48" t="n">
        <v>101905.11</v>
      </c>
      <c r="G1813" s="47" t="s">
        <v>66</v>
      </c>
      <c r="H1813" s="47" t="s">
        <v>44</v>
      </c>
      <c r="I1813" s="47" t="s">
        <v>226</v>
      </c>
      <c r="J1813" s="47" t="s">
        <v>28</v>
      </c>
      <c r="K1813" s="47" t="s">
        <v>34</v>
      </c>
    </row>
    <row r="1814" customFormat="false" ht="15" hidden="false" customHeight="false" outlineLevel="0" collapsed="false">
      <c r="A1814" s="0" t="s">
        <v>2845</v>
      </c>
      <c r="B1814" s="0" t="s">
        <v>2846</v>
      </c>
      <c r="D1814" s="46" t="n">
        <v>45828</v>
      </c>
      <c r="E1814" s="47" t="s">
        <v>59</v>
      </c>
      <c r="F1814" s="48" t="n">
        <v>136853.75</v>
      </c>
      <c r="G1814" s="47" t="s">
        <v>53</v>
      </c>
      <c r="H1814" s="47" t="s">
        <v>40</v>
      </c>
      <c r="I1814" s="47" t="s">
        <v>89</v>
      </c>
      <c r="J1814" s="47" t="s">
        <v>28</v>
      </c>
      <c r="K1814" s="47" t="s">
        <v>34</v>
      </c>
    </row>
    <row r="1815" customFormat="false" ht="15" hidden="false" customHeight="false" outlineLevel="0" collapsed="false">
      <c r="A1815" s="0" t="s">
        <v>2847</v>
      </c>
      <c r="B1815" s="0" t="s">
        <v>288</v>
      </c>
      <c r="D1815" s="46" t="n">
        <v>45923</v>
      </c>
      <c r="E1815" s="47" t="s">
        <v>59</v>
      </c>
      <c r="F1815" s="48" t="n">
        <v>142643.4</v>
      </c>
      <c r="G1815" s="47" t="s">
        <v>53</v>
      </c>
      <c r="H1815" s="47" t="s">
        <v>44</v>
      </c>
      <c r="I1815" s="47" t="s">
        <v>80</v>
      </c>
      <c r="J1815" s="47" t="s">
        <v>28</v>
      </c>
      <c r="K1815" s="47" t="s">
        <v>33</v>
      </c>
    </row>
    <row r="1816" customFormat="false" ht="15" hidden="false" customHeight="false" outlineLevel="0" collapsed="false">
      <c r="A1816" s="0" t="s">
        <v>2848</v>
      </c>
      <c r="B1816" s="0" t="s">
        <v>410</v>
      </c>
      <c r="D1816" s="46" t="n">
        <v>46123</v>
      </c>
      <c r="E1816" s="47" t="s">
        <v>59</v>
      </c>
      <c r="F1816" s="48" t="n">
        <v>165149.9</v>
      </c>
      <c r="G1816" s="47" t="s">
        <v>68</v>
      </c>
      <c r="H1816" s="47" t="s">
        <v>47</v>
      </c>
      <c r="I1816" s="47" t="s">
        <v>245</v>
      </c>
      <c r="J1816" s="47" t="s">
        <v>28</v>
      </c>
      <c r="K1816" s="47" t="s">
        <v>34</v>
      </c>
    </row>
    <row r="1817" customFormat="false" ht="15" hidden="false" customHeight="false" outlineLevel="0" collapsed="false">
      <c r="A1817" s="0" t="s">
        <v>2849</v>
      </c>
      <c r="B1817" s="0" t="s">
        <v>419</v>
      </c>
      <c r="D1817" s="46" t="n">
        <v>45962</v>
      </c>
      <c r="E1817" s="47" t="s">
        <v>61</v>
      </c>
      <c r="F1817" s="48" t="n">
        <v>174332.39</v>
      </c>
      <c r="G1817" s="47" t="s">
        <v>68</v>
      </c>
      <c r="H1817" s="47" t="s">
        <v>46</v>
      </c>
      <c r="I1817" s="47" t="s">
        <v>121</v>
      </c>
      <c r="J1817" s="47" t="s">
        <v>28</v>
      </c>
      <c r="K1817" s="47" t="s">
        <v>34</v>
      </c>
    </row>
    <row r="1818" customFormat="false" ht="15" hidden="false" customHeight="false" outlineLevel="0" collapsed="false">
      <c r="A1818" s="0" t="s">
        <v>2850</v>
      </c>
      <c r="B1818" s="0" t="s">
        <v>195</v>
      </c>
      <c r="D1818" s="46" t="n">
        <v>46118</v>
      </c>
      <c r="E1818" s="47" t="s">
        <v>62</v>
      </c>
      <c r="F1818" s="48" t="n">
        <v>106580.23</v>
      </c>
      <c r="G1818" s="47" t="s">
        <v>66</v>
      </c>
      <c r="H1818" s="47" t="s">
        <v>39</v>
      </c>
      <c r="I1818" s="47" t="s">
        <v>145</v>
      </c>
      <c r="J1818" s="47" t="s">
        <v>28</v>
      </c>
      <c r="K1818" s="47" t="s">
        <v>34</v>
      </c>
    </row>
    <row r="1819" customFormat="false" ht="15" hidden="false" customHeight="false" outlineLevel="0" collapsed="false">
      <c r="A1819" s="0" t="s">
        <v>2851</v>
      </c>
      <c r="B1819" s="0" t="s">
        <v>2237</v>
      </c>
      <c r="C1819" s="0" t="s">
        <v>2238</v>
      </c>
      <c r="D1819" s="46" t="n">
        <v>46057</v>
      </c>
      <c r="E1819" s="47" t="s">
        <v>55</v>
      </c>
      <c r="F1819" s="48" t="n">
        <v>158097.38</v>
      </c>
      <c r="G1819" s="47" t="s">
        <v>57</v>
      </c>
      <c r="H1819" s="47" t="s">
        <v>39</v>
      </c>
      <c r="I1819" s="47" t="s">
        <v>98</v>
      </c>
      <c r="J1819" s="47" t="s">
        <v>28</v>
      </c>
      <c r="K1819" s="47" t="s">
        <v>34</v>
      </c>
    </row>
    <row r="1820" customFormat="false" ht="15" hidden="false" customHeight="false" outlineLevel="0" collapsed="false">
      <c r="A1820" s="0" t="s">
        <v>2852</v>
      </c>
      <c r="B1820" s="0" t="s">
        <v>439</v>
      </c>
      <c r="C1820" s="0" t="s">
        <v>2853</v>
      </c>
      <c r="D1820" s="46" t="n">
        <v>45945</v>
      </c>
      <c r="E1820" s="47" t="s">
        <v>62</v>
      </c>
      <c r="F1820" s="48" t="n">
        <v>44352.13</v>
      </c>
      <c r="G1820" s="47" t="s">
        <v>65</v>
      </c>
      <c r="H1820" s="47" t="s">
        <v>39</v>
      </c>
      <c r="I1820" s="47" t="s">
        <v>98</v>
      </c>
      <c r="J1820" s="47" t="s">
        <v>29</v>
      </c>
      <c r="K1820" s="47" t="s">
        <v>33</v>
      </c>
    </row>
    <row r="1821" customFormat="false" ht="15" hidden="false" customHeight="false" outlineLevel="0" collapsed="false">
      <c r="A1821" s="0" t="s">
        <v>2854</v>
      </c>
      <c r="B1821" s="0" t="s">
        <v>664</v>
      </c>
      <c r="D1821" s="46" t="n">
        <v>45864</v>
      </c>
      <c r="E1821" s="47" t="s">
        <v>60</v>
      </c>
      <c r="F1821" s="48" t="n">
        <v>58323.13</v>
      </c>
      <c r="G1821" s="47" t="s">
        <v>65</v>
      </c>
      <c r="H1821" s="47" t="s">
        <v>43</v>
      </c>
      <c r="I1821" s="47" t="s">
        <v>117</v>
      </c>
      <c r="J1821" s="47" t="s">
        <v>28</v>
      </c>
      <c r="K1821" s="47" t="s">
        <v>33</v>
      </c>
    </row>
    <row r="1822" customFormat="false" ht="15" hidden="false" customHeight="false" outlineLevel="0" collapsed="false">
      <c r="A1822" s="0" t="s">
        <v>2855</v>
      </c>
      <c r="B1822" s="0" t="s">
        <v>2856</v>
      </c>
      <c r="D1822" s="46" t="n">
        <v>46273</v>
      </c>
      <c r="E1822" s="47" t="s">
        <v>60</v>
      </c>
      <c r="F1822" s="48" t="n">
        <v>153525.42</v>
      </c>
      <c r="G1822" s="47" t="s">
        <v>66</v>
      </c>
      <c r="H1822" s="47" t="s">
        <v>48</v>
      </c>
      <c r="I1822" s="47" t="s">
        <v>111</v>
      </c>
      <c r="J1822" s="47" t="s">
        <v>28</v>
      </c>
      <c r="K1822" s="47" t="s">
        <v>33</v>
      </c>
    </row>
    <row r="1823" customFormat="false" ht="15" hidden="false" customHeight="false" outlineLevel="0" collapsed="false">
      <c r="A1823" s="0" t="s">
        <v>2857</v>
      </c>
      <c r="B1823" s="0" t="s">
        <v>283</v>
      </c>
      <c r="C1823" s="0" t="s">
        <v>2858</v>
      </c>
      <c r="D1823" s="46" t="n">
        <v>46044</v>
      </c>
      <c r="E1823" s="47" t="s">
        <v>60</v>
      </c>
      <c r="F1823" s="48" t="n">
        <v>195365.37</v>
      </c>
      <c r="G1823" s="47" t="s">
        <v>53</v>
      </c>
      <c r="H1823" s="47" t="s">
        <v>43</v>
      </c>
      <c r="I1823" s="47" t="s">
        <v>117</v>
      </c>
      <c r="J1823" s="47" t="s">
        <v>28</v>
      </c>
      <c r="K1823" s="47" t="s">
        <v>33</v>
      </c>
    </row>
    <row r="1824" customFormat="false" ht="15" hidden="false" customHeight="false" outlineLevel="0" collapsed="false">
      <c r="A1824" s="0" t="s">
        <v>2859</v>
      </c>
      <c r="B1824" s="0" t="s">
        <v>2109</v>
      </c>
      <c r="D1824" s="46" t="n">
        <v>46021</v>
      </c>
      <c r="E1824" s="47" t="s">
        <v>62</v>
      </c>
      <c r="F1824" s="48" t="n">
        <v>3814.38</v>
      </c>
      <c r="G1824" s="47" t="s">
        <v>53</v>
      </c>
      <c r="H1824" s="47" t="s">
        <v>42</v>
      </c>
      <c r="I1824" s="47" t="s">
        <v>398</v>
      </c>
      <c r="J1824" s="47" t="s">
        <v>28</v>
      </c>
      <c r="K1824" s="47" t="s">
        <v>34</v>
      </c>
    </row>
    <row r="1825" customFormat="false" ht="15" hidden="false" customHeight="false" outlineLevel="0" collapsed="false">
      <c r="A1825" s="0" t="s">
        <v>2860</v>
      </c>
      <c r="B1825" s="0" t="s">
        <v>954</v>
      </c>
      <c r="D1825" s="46" t="n">
        <v>45795</v>
      </c>
      <c r="E1825" s="47" t="s">
        <v>59</v>
      </c>
      <c r="F1825" s="48" t="n">
        <v>155101.64</v>
      </c>
      <c r="G1825" s="47" t="s">
        <v>68</v>
      </c>
      <c r="H1825" s="47" t="s">
        <v>42</v>
      </c>
      <c r="I1825" s="47" t="s">
        <v>105</v>
      </c>
      <c r="J1825" s="47" t="s">
        <v>29</v>
      </c>
      <c r="K1825" s="47" t="s">
        <v>33</v>
      </c>
    </row>
    <row r="1826" customFormat="false" ht="15" hidden="false" customHeight="false" outlineLevel="0" collapsed="false">
      <c r="A1826" s="0" t="s">
        <v>2861</v>
      </c>
      <c r="B1826" s="0" t="s">
        <v>1246</v>
      </c>
      <c r="D1826" s="46" t="n">
        <v>46048</v>
      </c>
      <c r="E1826" s="47" t="s">
        <v>60</v>
      </c>
      <c r="F1826" s="48" t="n">
        <v>151009.55</v>
      </c>
      <c r="G1826" s="47" t="s">
        <v>68</v>
      </c>
      <c r="H1826" s="47" t="s">
        <v>47</v>
      </c>
      <c r="I1826" s="47" t="s">
        <v>245</v>
      </c>
      <c r="J1826" s="47" t="s">
        <v>28</v>
      </c>
      <c r="K1826" s="47" t="s">
        <v>34</v>
      </c>
    </row>
    <row r="1827" customFormat="false" ht="15" hidden="false" customHeight="false" outlineLevel="0" collapsed="false">
      <c r="A1827" s="0" t="s">
        <v>2862</v>
      </c>
      <c r="B1827" s="0" t="s">
        <v>1522</v>
      </c>
      <c r="D1827" s="46" t="n">
        <v>45731</v>
      </c>
      <c r="E1827" s="47" t="s">
        <v>61</v>
      </c>
      <c r="F1827" s="48" t="n">
        <v>117429.58</v>
      </c>
      <c r="G1827" s="47" t="s">
        <v>68</v>
      </c>
      <c r="H1827" s="47" t="s">
        <v>43</v>
      </c>
      <c r="I1827" s="47" t="s">
        <v>201</v>
      </c>
      <c r="J1827" s="47" t="s">
        <v>28</v>
      </c>
      <c r="K1827" s="47" t="s">
        <v>33</v>
      </c>
    </row>
    <row r="1828" customFormat="false" ht="15" hidden="false" customHeight="false" outlineLevel="0" collapsed="false">
      <c r="A1828" s="0" t="s">
        <v>2863</v>
      </c>
      <c r="B1828" s="0" t="s">
        <v>2864</v>
      </c>
      <c r="D1828" s="46" t="n">
        <v>45802</v>
      </c>
      <c r="E1828" s="47" t="s">
        <v>53</v>
      </c>
      <c r="F1828" s="48" t="n">
        <v>64578.94</v>
      </c>
      <c r="G1828" s="47" t="s">
        <v>57</v>
      </c>
      <c r="H1828" s="47" t="s">
        <v>42</v>
      </c>
      <c r="I1828" s="47" t="s">
        <v>105</v>
      </c>
      <c r="J1828" s="47" t="s">
        <v>28</v>
      </c>
      <c r="K1828" s="47" t="s">
        <v>34</v>
      </c>
    </row>
    <row r="1829" customFormat="false" ht="15" hidden="false" customHeight="false" outlineLevel="0" collapsed="false">
      <c r="A1829" s="0" t="s">
        <v>2865</v>
      </c>
      <c r="B1829" s="0" t="s">
        <v>2507</v>
      </c>
      <c r="D1829" s="46" t="n">
        <v>46248</v>
      </c>
      <c r="E1829" s="47" t="s">
        <v>53</v>
      </c>
      <c r="F1829" s="48" t="n">
        <v>16864.91</v>
      </c>
      <c r="G1829" s="47" t="s">
        <v>68</v>
      </c>
      <c r="H1829" s="47" t="s">
        <v>39</v>
      </c>
      <c r="I1829" s="47" t="s">
        <v>145</v>
      </c>
      <c r="J1829" s="47" t="s">
        <v>28</v>
      </c>
      <c r="K1829" s="47" t="s">
        <v>33</v>
      </c>
    </row>
    <row r="1830" customFormat="false" ht="15" hidden="false" customHeight="false" outlineLevel="0" collapsed="false">
      <c r="A1830" s="0" t="s">
        <v>2866</v>
      </c>
      <c r="B1830" s="0" t="s">
        <v>1938</v>
      </c>
      <c r="D1830" s="46" t="n">
        <v>46033</v>
      </c>
      <c r="E1830" s="47" t="s">
        <v>58</v>
      </c>
      <c r="F1830" s="48" t="n">
        <v>190074.92</v>
      </c>
      <c r="G1830" s="47" t="s">
        <v>68</v>
      </c>
      <c r="H1830" s="47" t="s">
        <v>41</v>
      </c>
      <c r="I1830" s="47" t="s">
        <v>293</v>
      </c>
      <c r="J1830" s="47" t="s">
        <v>28</v>
      </c>
      <c r="K1830" s="47" t="s">
        <v>33</v>
      </c>
    </row>
    <row r="1831" customFormat="false" ht="15" hidden="false" customHeight="false" outlineLevel="0" collapsed="false">
      <c r="A1831" s="0" t="s">
        <v>2867</v>
      </c>
      <c r="B1831" s="0" t="s">
        <v>1788</v>
      </c>
      <c r="D1831" s="46" t="n">
        <v>46235</v>
      </c>
      <c r="E1831" s="47" t="s">
        <v>53</v>
      </c>
      <c r="F1831" s="48" t="n">
        <v>140332.58</v>
      </c>
      <c r="G1831" s="47" t="s">
        <v>65</v>
      </c>
      <c r="H1831" s="47" t="s">
        <v>47</v>
      </c>
      <c r="I1831" s="47" t="s">
        <v>108</v>
      </c>
      <c r="J1831" s="47" t="s">
        <v>28</v>
      </c>
      <c r="K1831" s="47" t="s">
        <v>33</v>
      </c>
    </row>
    <row r="1832" customFormat="false" ht="15" hidden="false" customHeight="false" outlineLevel="0" collapsed="false">
      <c r="A1832" s="0" t="s">
        <v>2868</v>
      </c>
      <c r="B1832" s="0" t="s">
        <v>738</v>
      </c>
      <c r="D1832" s="46" t="n">
        <v>46224</v>
      </c>
      <c r="E1832" s="47" t="s">
        <v>55</v>
      </c>
      <c r="F1832" s="48" t="n">
        <v>104490.1</v>
      </c>
      <c r="G1832" s="47" t="s">
        <v>66</v>
      </c>
      <c r="H1832" s="47" t="s">
        <v>47</v>
      </c>
      <c r="I1832" s="47" t="s">
        <v>245</v>
      </c>
      <c r="J1832" s="47" t="s">
        <v>28</v>
      </c>
      <c r="K1832" s="47" t="s">
        <v>33</v>
      </c>
    </row>
    <row r="1833" customFormat="false" ht="15" hidden="false" customHeight="false" outlineLevel="0" collapsed="false">
      <c r="A1833" s="0" t="s">
        <v>2869</v>
      </c>
      <c r="B1833" s="0" t="s">
        <v>2455</v>
      </c>
      <c r="D1833" s="46" t="n">
        <v>46076</v>
      </c>
      <c r="E1833" s="47" t="s">
        <v>62</v>
      </c>
      <c r="F1833" s="48" t="n">
        <v>30609.18</v>
      </c>
      <c r="G1833" s="47" t="s">
        <v>53</v>
      </c>
      <c r="H1833" s="47" t="s">
        <v>48</v>
      </c>
      <c r="I1833" s="47" t="s">
        <v>212</v>
      </c>
      <c r="J1833" s="47" t="s">
        <v>28</v>
      </c>
      <c r="K1833" s="47" t="s">
        <v>34</v>
      </c>
    </row>
    <row r="1834" customFormat="false" ht="15" hidden="false" customHeight="false" outlineLevel="0" collapsed="false">
      <c r="A1834" s="0" t="s">
        <v>2870</v>
      </c>
      <c r="B1834" s="0" t="s">
        <v>1193</v>
      </c>
      <c r="D1834" s="46" t="n">
        <v>45664</v>
      </c>
      <c r="E1834" s="47" t="s">
        <v>60</v>
      </c>
      <c r="F1834" s="48" t="n">
        <v>30035.99</v>
      </c>
      <c r="G1834" s="47" t="s">
        <v>53</v>
      </c>
      <c r="H1834" s="47" t="s">
        <v>45</v>
      </c>
      <c r="I1834" s="47" t="s">
        <v>95</v>
      </c>
      <c r="J1834" s="47" t="s">
        <v>28</v>
      </c>
      <c r="K1834" s="47" t="s">
        <v>34</v>
      </c>
    </row>
    <row r="1835" customFormat="false" ht="15" hidden="false" customHeight="false" outlineLevel="0" collapsed="false">
      <c r="A1835" s="0" t="s">
        <v>2871</v>
      </c>
      <c r="B1835" s="0" t="s">
        <v>366</v>
      </c>
      <c r="C1835" s="0" t="s">
        <v>367</v>
      </c>
      <c r="D1835" s="46" t="n">
        <v>45836</v>
      </c>
      <c r="E1835" s="47" t="s">
        <v>61</v>
      </c>
      <c r="F1835" s="48" t="n">
        <v>72398.2</v>
      </c>
      <c r="G1835" s="47" t="s">
        <v>66</v>
      </c>
      <c r="H1835" s="47" t="s">
        <v>48</v>
      </c>
      <c r="I1835" s="47" t="s">
        <v>114</v>
      </c>
      <c r="J1835" s="47" t="s">
        <v>29</v>
      </c>
      <c r="K1835" s="47" t="s">
        <v>34</v>
      </c>
    </row>
    <row r="1836" customFormat="false" ht="15" hidden="false" customHeight="false" outlineLevel="0" collapsed="false">
      <c r="A1836" s="0" t="s">
        <v>2872</v>
      </c>
      <c r="B1836" s="0" t="s">
        <v>575</v>
      </c>
      <c r="D1836" s="46" t="n">
        <v>45815</v>
      </c>
      <c r="E1836" s="47" t="s">
        <v>62</v>
      </c>
      <c r="F1836" s="48" t="n">
        <v>154516.03</v>
      </c>
      <c r="G1836" s="47" t="s">
        <v>57</v>
      </c>
      <c r="H1836" s="47" t="s">
        <v>45</v>
      </c>
      <c r="I1836" s="47" t="s">
        <v>217</v>
      </c>
      <c r="J1836" s="47" t="s">
        <v>28</v>
      </c>
      <c r="K1836" s="47" t="s">
        <v>34</v>
      </c>
    </row>
    <row r="1837" customFormat="false" ht="15" hidden="false" customHeight="false" outlineLevel="0" collapsed="false">
      <c r="A1837" s="0" t="s">
        <v>2873</v>
      </c>
      <c r="B1837" s="0" t="s">
        <v>518</v>
      </c>
      <c r="D1837" s="46" t="n">
        <v>46279</v>
      </c>
      <c r="E1837" s="47" t="s">
        <v>59</v>
      </c>
      <c r="F1837" s="48" t="n">
        <v>63046.81</v>
      </c>
      <c r="G1837" s="47" t="s">
        <v>66</v>
      </c>
      <c r="H1837" s="47" t="s">
        <v>48</v>
      </c>
      <c r="I1837" s="47" t="s">
        <v>111</v>
      </c>
      <c r="J1837" s="47" t="s">
        <v>28</v>
      </c>
      <c r="K1837" s="47" t="s">
        <v>33</v>
      </c>
    </row>
    <row r="1838" customFormat="false" ht="15" hidden="false" customHeight="false" outlineLevel="0" collapsed="false">
      <c r="A1838" s="0" t="s">
        <v>2874</v>
      </c>
      <c r="B1838" s="0" t="s">
        <v>2875</v>
      </c>
      <c r="D1838" s="46" t="n">
        <v>45785</v>
      </c>
      <c r="E1838" s="47" t="s">
        <v>58</v>
      </c>
      <c r="F1838" s="48" t="n">
        <v>94679.09</v>
      </c>
      <c r="G1838" s="47" t="s">
        <v>57</v>
      </c>
      <c r="H1838" s="47" t="s">
        <v>48</v>
      </c>
      <c r="I1838" s="47" t="s">
        <v>111</v>
      </c>
      <c r="J1838" s="47" t="s">
        <v>28</v>
      </c>
      <c r="K1838" s="47" t="s">
        <v>34</v>
      </c>
    </row>
    <row r="1839" customFormat="false" ht="15" hidden="false" customHeight="false" outlineLevel="0" collapsed="false">
      <c r="A1839" s="0" t="s">
        <v>2876</v>
      </c>
      <c r="B1839" s="0" t="s">
        <v>1116</v>
      </c>
      <c r="D1839" s="46" t="n">
        <v>46180</v>
      </c>
      <c r="E1839" s="47" t="s">
        <v>62</v>
      </c>
      <c r="F1839" s="48" t="n">
        <v>72980.72</v>
      </c>
      <c r="G1839" s="47" t="s">
        <v>53</v>
      </c>
      <c r="H1839" s="47" t="s">
        <v>39</v>
      </c>
      <c r="I1839" s="47" t="s">
        <v>177</v>
      </c>
      <c r="J1839" s="47" t="s">
        <v>28</v>
      </c>
      <c r="K1839" s="47" t="s">
        <v>33</v>
      </c>
    </row>
    <row r="1840" customFormat="false" ht="15" hidden="false" customHeight="false" outlineLevel="0" collapsed="false">
      <c r="A1840" s="0" t="s">
        <v>2877</v>
      </c>
      <c r="B1840" s="0" t="s">
        <v>263</v>
      </c>
      <c r="D1840" s="46" t="n">
        <v>45800</v>
      </c>
      <c r="E1840" s="47" t="s">
        <v>62</v>
      </c>
      <c r="F1840" s="48" t="n">
        <v>85513.46</v>
      </c>
      <c r="G1840" s="47" t="s">
        <v>65</v>
      </c>
      <c r="H1840" s="47" t="s">
        <v>46</v>
      </c>
      <c r="I1840" s="47" t="s">
        <v>121</v>
      </c>
      <c r="J1840" s="47" t="s">
        <v>28</v>
      </c>
      <c r="K1840" s="47" t="s">
        <v>34</v>
      </c>
    </row>
    <row r="1841" customFormat="false" ht="15" hidden="false" customHeight="false" outlineLevel="0" collapsed="false">
      <c r="A1841" s="0" t="s">
        <v>2878</v>
      </c>
      <c r="B1841" s="0" t="s">
        <v>342</v>
      </c>
      <c r="D1841" s="46" t="n">
        <v>46216</v>
      </c>
      <c r="E1841" s="47" t="s">
        <v>61</v>
      </c>
      <c r="F1841" s="48" t="n">
        <v>42207.82</v>
      </c>
      <c r="G1841" s="47" t="s">
        <v>53</v>
      </c>
      <c r="H1841" s="47" t="s">
        <v>46</v>
      </c>
      <c r="I1841" s="47" t="s">
        <v>148</v>
      </c>
      <c r="J1841" s="47" t="s">
        <v>29</v>
      </c>
      <c r="K1841" s="47" t="s">
        <v>33</v>
      </c>
    </row>
    <row r="1842" customFormat="false" ht="15" hidden="false" customHeight="false" outlineLevel="0" collapsed="false">
      <c r="A1842" s="0" t="s">
        <v>2879</v>
      </c>
      <c r="B1842" s="0" t="s">
        <v>475</v>
      </c>
      <c r="D1842" s="46" t="n">
        <v>46025</v>
      </c>
      <c r="E1842" s="47" t="s">
        <v>62</v>
      </c>
      <c r="F1842" s="48" t="n">
        <v>156174.2</v>
      </c>
      <c r="G1842" s="47" t="s">
        <v>53</v>
      </c>
      <c r="H1842" s="47" t="s">
        <v>42</v>
      </c>
      <c r="I1842" s="47" t="s">
        <v>398</v>
      </c>
      <c r="J1842" s="47" t="s">
        <v>28</v>
      </c>
      <c r="K1842" s="47" t="s">
        <v>33</v>
      </c>
    </row>
    <row r="1843" customFormat="false" ht="15" hidden="false" customHeight="false" outlineLevel="0" collapsed="false">
      <c r="A1843" s="0" t="s">
        <v>2880</v>
      </c>
      <c r="B1843" s="0" t="s">
        <v>2881</v>
      </c>
      <c r="D1843" s="46" t="n">
        <v>45719</v>
      </c>
      <c r="E1843" s="47" t="s">
        <v>58</v>
      </c>
      <c r="F1843" s="48" t="n">
        <v>60253.37</v>
      </c>
      <c r="G1843" s="47" t="s">
        <v>53</v>
      </c>
      <c r="H1843" s="47" t="s">
        <v>46</v>
      </c>
      <c r="I1843" s="47" t="s">
        <v>148</v>
      </c>
      <c r="J1843" s="47" t="s">
        <v>28</v>
      </c>
      <c r="K1843" s="47" t="s">
        <v>33</v>
      </c>
    </row>
    <row r="1844" customFormat="false" ht="15" hidden="false" customHeight="false" outlineLevel="0" collapsed="false">
      <c r="A1844" s="0" t="s">
        <v>2882</v>
      </c>
      <c r="B1844" s="0" t="s">
        <v>524</v>
      </c>
      <c r="C1844" s="0" t="s">
        <v>525</v>
      </c>
      <c r="D1844" s="46" t="n">
        <v>46127</v>
      </c>
      <c r="E1844" s="47" t="s">
        <v>55</v>
      </c>
      <c r="F1844" s="48" t="n">
        <v>180387.57</v>
      </c>
      <c r="G1844" s="47" t="s">
        <v>66</v>
      </c>
      <c r="H1844" s="47" t="s">
        <v>41</v>
      </c>
      <c r="I1844" s="47" t="s">
        <v>272</v>
      </c>
      <c r="J1844" s="47" t="s">
        <v>28</v>
      </c>
      <c r="K1844" s="47" t="s">
        <v>33</v>
      </c>
    </row>
    <row r="1845" customFormat="false" ht="15" hidden="false" customHeight="false" outlineLevel="0" collapsed="false">
      <c r="A1845" s="0" t="s">
        <v>2883</v>
      </c>
      <c r="B1845" s="0" t="s">
        <v>1406</v>
      </c>
      <c r="D1845" s="46" t="n">
        <v>46029</v>
      </c>
      <c r="E1845" s="47" t="s">
        <v>60</v>
      </c>
      <c r="F1845" s="48" t="n">
        <v>63674.06</v>
      </c>
      <c r="G1845" s="47" t="s">
        <v>53</v>
      </c>
      <c r="H1845" s="47" t="s">
        <v>40</v>
      </c>
      <c r="I1845" s="47" t="s">
        <v>89</v>
      </c>
      <c r="J1845" s="47" t="s">
        <v>28</v>
      </c>
      <c r="K1845" s="47" t="s">
        <v>33</v>
      </c>
    </row>
    <row r="1846" customFormat="false" ht="15" hidden="false" customHeight="false" outlineLevel="0" collapsed="false">
      <c r="A1846" s="0" t="s">
        <v>2884</v>
      </c>
      <c r="B1846" s="0" t="s">
        <v>749</v>
      </c>
      <c r="C1846" s="0" t="s">
        <v>2885</v>
      </c>
      <c r="D1846" s="46" t="n">
        <v>46087</v>
      </c>
      <c r="E1846" s="47" t="s">
        <v>59</v>
      </c>
      <c r="F1846" s="48" t="n">
        <v>173286.57</v>
      </c>
      <c r="G1846" s="47" t="s">
        <v>57</v>
      </c>
      <c r="H1846" s="47" t="s">
        <v>47</v>
      </c>
      <c r="I1846" s="47" t="s">
        <v>166</v>
      </c>
      <c r="J1846" s="47" t="s">
        <v>29</v>
      </c>
      <c r="K1846" s="47" t="s">
        <v>34</v>
      </c>
    </row>
    <row r="1847" customFormat="false" ht="15" hidden="false" customHeight="false" outlineLevel="0" collapsed="false">
      <c r="A1847" s="0" t="s">
        <v>2886</v>
      </c>
      <c r="B1847" s="0" t="s">
        <v>239</v>
      </c>
      <c r="D1847" s="46" t="n">
        <v>45727</v>
      </c>
      <c r="E1847" s="47" t="s">
        <v>60</v>
      </c>
      <c r="F1847" s="48" t="n">
        <v>52816.37</v>
      </c>
      <c r="G1847" s="47" t="s">
        <v>68</v>
      </c>
      <c r="H1847" s="47" t="s">
        <v>44</v>
      </c>
      <c r="I1847" s="47" t="s">
        <v>226</v>
      </c>
      <c r="J1847" s="47" t="s">
        <v>28</v>
      </c>
      <c r="K1847" s="47" t="s">
        <v>33</v>
      </c>
    </row>
    <row r="1848" customFormat="false" ht="15" hidden="false" customHeight="false" outlineLevel="0" collapsed="false">
      <c r="A1848" s="0" t="s">
        <v>2887</v>
      </c>
      <c r="B1848" s="0" t="s">
        <v>1992</v>
      </c>
      <c r="D1848" s="46" t="n">
        <v>45987</v>
      </c>
      <c r="E1848" s="47" t="s">
        <v>53</v>
      </c>
      <c r="F1848" s="48" t="n">
        <v>81243.44</v>
      </c>
      <c r="G1848" s="47" t="s">
        <v>66</v>
      </c>
      <c r="H1848" s="47" t="s">
        <v>45</v>
      </c>
      <c r="I1848" s="47" t="s">
        <v>151</v>
      </c>
      <c r="J1848" s="47" t="s">
        <v>28</v>
      </c>
      <c r="K1848" s="47" t="s">
        <v>33</v>
      </c>
    </row>
    <row r="1849" customFormat="false" ht="15" hidden="false" customHeight="false" outlineLevel="0" collapsed="false">
      <c r="A1849" s="0" t="s">
        <v>2888</v>
      </c>
      <c r="B1849" s="0" t="s">
        <v>344</v>
      </c>
      <c r="D1849" s="46" t="n">
        <v>45696</v>
      </c>
      <c r="E1849" s="47" t="s">
        <v>55</v>
      </c>
      <c r="F1849" s="48" t="n">
        <v>133565.97</v>
      </c>
      <c r="G1849" s="47" t="s">
        <v>68</v>
      </c>
      <c r="H1849" s="47" t="s">
        <v>43</v>
      </c>
      <c r="I1849" s="47" t="s">
        <v>117</v>
      </c>
      <c r="J1849" s="47" t="s">
        <v>28</v>
      </c>
      <c r="K1849" s="47" t="s">
        <v>34</v>
      </c>
    </row>
    <row r="1850" customFormat="false" ht="15" hidden="false" customHeight="false" outlineLevel="0" collapsed="false">
      <c r="A1850" s="0" t="s">
        <v>2889</v>
      </c>
      <c r="B1850" s="0" t="s">
        <v>2083</v>
      </c>
      <c r="D1850" s="46" t="n">
        <v>45701</v>
      </c>
      <c r="E1850" s="47" t="s">
        <v>55</v>
      </c>
      <c r="F1850" s="48" t="n">
        <v>57606.66</v>
      </c>
      <c r="G1850" s="47" t="s">
        <v>68</v>
      </c>
      <c r="H1850" s="47" t="s">
        <v>48</v>
      </c>
      <c r="I1850" s="47" t="s">
        <v>212</v>
      </c>
      <c r="J1850" s="47" t="s">
        <v>28</v>
      </c>
      <c r="K1850" s="47" t="s">
        <v>34</v>
      </c>
    </row>
    <row r="1851" customFormat="false" ht="15" hidden="false" customHeight="false" outlineLevel="0" collapsed="false">
      <c r="A1851" s="0" t="s">
        <v>2890</v>
      </c>
      <c r="B1851" s="0" t="s">
        <v>637</v>
      </c>
      <c r="D1851" s="46" t="n">
        <v>45690</v>
      </c>
      <c r="E1851" s="47" t="s">
        <v>60</v>
      </c>
      <c r="F1851" s="48" t="n">
        <v>13360.32</v>
      </c>
      <c r="G1851" s="47" t="s">
        <v>68</v>
      </c>
      <c r="H1851" s="47" t="s">
        <v>42</v>
      </c>
      <c r="I1851" s="47" t="s">
        <v>398</v>
      </c>
      <c r="J1851" s="47" t="s">
        <v>28</v>
      </c>
      <c r="K1851" s="47" t="s">
        <v>34</v>
      </c>
    </row>
    <row r="1852" customFormat="false" ht="15" hidden="false" customHeight="false" outlineLevel="0" collapsed="false">
      <c r="A1852" s="0" t="s">
        <v>2891</v>
      </c>
      <c r="B1852" s="0" t="s">
        <v>2118</v>
      </c>
      <c r="D1852" s="46" t="n">
        <v>45672</v>
      </c>
      <c r="E1852" s="47" t="s">
        <v>60</v>
      </c>
      <c r="F1852" s="48" t="n">
        <v>124236.46</v>
      </c>
      <c r="G1852" s="47" t="s">
        <v>66</v>
      </c>
      <c r="H1852" s="47" t="s">
        <v>47</v>
      </c>
      <c r="I1852" s="47" t="s">
        <v>166</v>
      </c>
      <c r="J1852" s="47" t="s">
        <v>28</v>
      </c>
      <c r="K1852" s="47" t="s">
        <v>33</v>
      </c>
    </row>
    <row r="1853" customFormat="false" ht="15" hidden="false" customHeight="false" outlineLevel="0" collapsed="false">
      <c r="A1853" s="0" t="s">
        <v>2892</v>
      </c>
      <c r="B1853" s="0" t="s">
        <v>1238</v>
      </c>
      <c r="D1853" s="46" t="n">
        <v>45725</v>
      </c>
      <c r="E1853" s="47" t="s">
        <v>59</v>
      </c>
      <c r="F1853" s="48" t="n">
        <v>84885.19</v>
      </c>
      <c r="G1853" s="47" t="s">
        <v>57</v>
      </c>
      <c r="H1853" s="47" t="s">
        <v>39</v>
      </c>
      <c r="I1853" s="47" t="s">
        <v>145</v>
      </c>
      <c r="J1853" s="47" t="s">
        <v>28</v>
      </c>
      <c r="K1853" s="47" t="s">
        <v>34</v>
      </c>
    </row>
    <row r="1854" customFormat="false" ht="15" hidden="false" customHeight="false" outlineLevel="0" collapsed="false">
      <c r="A1854" s="0" t="s">
        <v>2893</v>
      </c>
      <c r="B1854" s="0" t="s">
        <v>1952</v>
      </c>
      <c r="D1854" s="46" t="n">
        <v>45914</v>
      </c>
      <c r="E1854" s="47" t="s">
        <v>60</v>
      </c>
      <c r="F1854" s="48" t="n">
        <v>71540.25</v>
      </c>
      <c r="G1854" s="47" t="s">
        <v>57</v>
      </c>
      <c r="H1854" s="47" t="s">
        <v>48</v>
      </c>
      <c r="I1854" s="47" t="s">
        <v>111</v>
      </c>
      <c r="J1854" s="47" t="s">
        <v>28</v>
      </c>
      <c r="K1854" s="47" t="s">
        <v>33</v>
      </c>
    </row>
    <row r="1855" customFormat="false" ht="15" hidden="false" customHeight="false" outlineLevel="0" collapsed="false">
      <c r="A1855" s="0" t="s">
        <v>2894</v>
      </c>
      <c r="B1855" s="0" t="s">
        <v>538</v>
      </c>
      <c r="D1855" s="46" t="n">
        <v>45965</v>
      </c>
      <c r="E1855" s="47" t="s">
        <v>62</v>
      </c>
      <c r="F1855" s="48" t="n">
        <v>64296.95</v>
      </c>
      <c r="G1855" s="47" t="s">
        <v>53</v>
      </c>
      <c r="H1855" s="47" t="s">
        <v>46</v>
      </c>
      <c r="I1855" s="47" t="s">
        <v>242</v>
      </c>
      <c r="J1855" s="47" t="s">
        <v>30</v>
      </c>
      <c r="K1855" s="47" t="s">
        <v>34</v>
      </c>
    </row>
    <row r="1856" customFormat="false" ht="15" hidden="false" customHeight="false" outlineLevel="0" collapsed="false">
      <c r="A1856" s="0" t="s">
        <v>2895</v>
      </c>
      <c r="B1856" s="0" t="s">
        <v>2578</v>
      </c>
      <c r="D1856" s="46" t="n">
        <v>46175</v>
      </c>
      <c r="E1856" s="47" t="s">
        <v>59</v>
      </c>
      <c r="F1856" s="48" t="n">
        <v>194805.34</v>
      </c>
      <c r="G1856" s="47" t="s">
        <v>68</v>
      </c>
      <c r="H1856" s="47" t="s">
        <v>39</v>
      </c>
      <c r="I1856" s="47" t="s">
        <v>177</v>
      </c>
      <c r="J1856" s="47" t="s">
        <v>28</v>
      </c>
      <c r="K1856" s="47" t="s">
        <v>33</v>
      </c>
    </row>
    <row r="1857" customFormat="false" ht="15" hidden="false" customHeight="false" outlineLevel="0" collapsed="false">
      <c r="A1857" s="0" t="s">
        <v>2896</v>
      </c>
      <c r="B1857" s="0" t="s">
        <v>2897</v>
      </c>
      <c r="D1857" s="46" t="n">
        <v>46244</v>
      </c>
      <c r="E1857" s="47" t="s">
        <v>59</v>
      </c>
      <c r="F1857" s="48" t="n">
        <v>76176.3</v>
      </c>
      <c r="G1857" s="47" t="s">
        <v>65</v>
      </c>
      <c r="H1857" s="47" t="s">
        <v>40</v>
      </c>
      <c r="I1857" s="47" t="s">
        <v>83</v>
      </c>
      <c r="J1857" s="47" t="s">
        <v>28</v>
      </c>
      <c r="K1857" s="47" t="s">
        <v>34</v>
      </c>
    </row>
    <row r="1858" customFormat="false" ht="15" hidden="false" customHeight="false" outlineLevel="0" collapsed="false">
      <c r="A1858" s="0" t="s">
        <v>2898</v>
      </c>
      <c r="B1858" s="0" t="s">
        <v>1511</v>
      </c>
      <c r="D1858" s="46" t="n">
        <v>45927</v>
      </c>
      <c r="E1858" s="47" t="s">
        <v>60</v>
      </c>
      <c r="F1858" s="48" t="n">
        <v>131619.91</v>
      </c>
      <c r="G1858" s="47" t="s">
        <v>57</v>
      </c>
      <c r="H1858" s="47" t="s">
        <v>45</v>
      </c>
      <c r="I1858" s="47" t="s">
        <v>217</v>
      </c>
      <c r="J1858" s="47" t="s">
        <v>29</v>
      </c>
      <c r="K1858" s="47" t="s">
        <v>34</v>
      </c>
    </row>
    <row r="1859" customFormat="false" ht="15" hidden="false" customHeight="false" outlineLevel="0" collapsed="false">
      <c r="A1859" s="0" t="s">
        <v>2899</v>
      </c>
      <c r="B1859" s="0" t="s">
        <v>1241</v>
      </c>
      <c r="D1859" s="46" t="n">
        <v>46238</v>
      </c>
      <c r="E1859" s="47" t="s">
        <v>58</v>
      </c>
      <c r="F1859" s="48" t="n">
        <v>177227.77</v>
      </c>
      <c r="G1859" s="47" t="s">
        <v>68</v>
      </c>
      <c r="H1859" s="47" t="s">
        <v>43</v>
      </c>
      <c r="I1859" s="47" t="s">
        <v>117</v>
      </c>
      <c r="J1859" s="47" t="s">
        <v>28</v>
      </c>
      <c r="K1859" s="47" t="s">
        <v>33</v>
      </c>
    </row>
    <row r="1860" customFormat="false" ht="15" hidden="false" customHeight="false" outlineLevel="0" collapsed="false">
      <c r="A1860" s="0" t="s">
        <v>2900</v>
      </c>
      <c r="B1860" s="0" t="s">
        <v>207</v>
      </c>
      <c r="D1860" s="46" t="n">
        <v>46133</v>
      </c>
      <c r="E1860" s="47" t="s">
        <v>59</v>
      </c>
      <c r="F1860" s="48" t="n">
        <v>185374.26</v>
      </c>
      <c r="G1860" s="47" t="s">
        <v>68</v>
      </c>
      <c r="H1860" s="47" t="s">
        <v>45</v>
      </c>
      <c r="I1860" s="47" t="s">
        <v>151</v>
      </c>
      <c r="J1860" s="47" t="s">
        <v>28</v>
      </c>
      <c r="K1860" s="47" t="s">
        <v>33</v>
      </c>
    </row>
    <row r="1861" customFormat="false" ht="15" hidden="false" customHeight="false" outlineLevel="0" collapsed="false">
      <c r="A1861" s="0" t="s">
        <v>2901</v>
      </c>
      <c r="B1861" s="0" t="s">
        <v>1083</v>
      </c>
      <c r="D1861" s="46" t="n">
        <v>46090</v>
      </c>
      <c r="E1861" s="47" t="s">
        <v>55</v>
      </c>
      <c r="F1861" s="48" t="n">
        <v>181922.33</v>
      </c>
      <c r="G1861" s="47" t="s">
        <v>65</v>
      </c>
      <c r="H1861" s="47" t="s">
        <v>46</v>
      </c>
      <c r="I1861" s="47" t="s">
        <v>148</v>
      </c>
      <c r="J1861" s="47" t="s">
        <v>28</v>
      </c>
      <c r="K1861" s="47" t="s">
        <v>34</v>
      </c>
    </row>
    <row r="1862" customFormat="false" ht="15" hidden="false" customHeight="false" outlineLevel="0" collapsed="false">
      <c r="A1862" s="0" t="s">
        <v>2902</v>
      </c>
      <c r="B1862" s="0" t="s">
        <v>322</v>
      </c>
      <c r="D1862" s="46" t="n">
        <v>45817</v>
      </c>
      <c r="E1862" s="47" t="s">
        <v>53</v>
      </c>
      <c r="F1862" s="48" t="n">
        <v>28797.47</v>
      </c>
      <c r="G1862" s="47" t="s">
        <v>57</v>
      </c>
      <c r="H1862" s="47" t="s">
        <v>39</v>
      </c>
      <c r="I1862" s="47" t="s">
        <v>98</v>
      </c>
      <c r="J1862" s="47" t="s">
        <v>28</v>
      </c>
      <c r="K1862" s="47" t="s">
        <v>34</v>
      </c>
    </row>
    <row r="1863" customFormat="false" ht="15" hidden="false" customHeight="false" outlineLevel="0" collapsed="false">
      <c r="A1863" s="0" t="s">
        <v>2903</v>
      </c>
      <c r="B1863" s="0" t="s">
        <v>577</v>
      </c>
      <c r="D1863" s="46" t="n">
        <v>46147</v>
      </c>
      <c r="E1863" s="47" t="s">
        <v>62</v>
      </c>
      <c r="F1863" s="48" t="n">
        <v>87248.96</v>
      </c>
      <c r="G1863" s="47" t="s">
        <v>53</v>
      </c>
      <c r="H1863" s="47" t="s">
        <v>40</v>
      </c>
      <c r="I1863" s="47" t="s">
        <v>253</v>
      </c>
      <c r="J1863" s="47" t="s">
        <v>30</v>
      </c>
      <c r="K1863" s="47" t="s">
        <v>34</v>
      </c>
    </row>
    <row r="1864" customFormat="false" ht="15" hidden="false" customHeight="false" outlineLevel="0" collapsed="false">
      <c r="A1864" s="0" t="s">
        <v>2904</v>
      </c>
      <c r="B1864" s="0" t="s">
        <v>301</v>
      </c>
      <c r="D1864" s="46" t="n">
        <v>45922</v>
      </c>
      <c r="E1864" s="47" t="s">
        <v>59</v>
      </c>
      <c r="F1864" s="48" t="n">
        <v>116595.21</v>
      </c>
      <c r="G1864" s="47" t="s">
        <v>65</v>
      </c>
      <c r="H1864" s="47" t="s">
        <v>39</v>
      </c>
      <c r="I1864" s="47" t="s">
        <v>177</v>
      </c>
      <c r="J1864" s="47" t="s">
        <v>28</v>
      </c>
      <c r="K1864" s="47" t="s">
        <v>34</v>
      </c>
    </row>
    <row r="1865" customFormat="false" ht="15" hidden="false" customHeight="false" outlineLevel="0" collapsed="false">
      <c r="A1865" s="0" t="s">
        <v>2905</v>
      </c>
      <c r="B1865" s="0" t="s">
        <v>500</v>
      </c>
      <c r="D1865" s="46" t="n">
        <v>45845</v>
      </c>
      <c r="E1865" s="47" t="s">
        <v>62</v>
      </c>
      <c r="F1865" s="48" t="n">
        <v>172515.71</v>
      </c>
      <c r="G1865" s="47" t="s">
        <v>66</v>
      </c>
      <c r="H1865" s="47" t="s">
        <v>48</v>
      </c>
      <c r="I1865" s="47" t="s">
        <v>111</v>
      </c>
      <c r="J1865" s="47" t="s">
        <v>28</v>
      </c>
      <c r="K1865" s="47" t="s">
        <v>34</v>
      </c>
    </row>
    <row r="1866" customFormat="false" ht="15" hidden="false" customHeight="false" outlineLevel="0" collapsed="false">
      <c r="A1866" s="0" t="s">
        <v>2906</v>
      </c>
      <c r="B1866" s="0" t="s">
        <v>1359</v>
      </c>
      <c r="C1866" s="0" t="s">
        <v>2907</v>
      </c>
      <c r="D1866" s="46" t="n">
        <v>46164</v>
      </c>
      <c r="E1866" s="47" t="s">
        <v>55</v>
      </c>
      <c r="F1866" s="48" t="n">
        <v>91156.04</v>
      </c>
      <c r="G1866" s="47" t="s">
        <v>68</v>
      </c>
      <c r="H1866" s="47" t="s">
        <v>46</v>
      </c>
      <c r="I1866" s="47" t="s">
        <v>242</v>
      </c>
      <c r="J1866" s="47" t="s">
        <v>28</v>
      </c>
      <c r="K1866" s="47" t="s">
        <v>33</v>
      </c>
    </row>
    <row r="1867" customFormat="false" ht="15" hidden="false" customHeight="false" outlineLevel="0" collapsed="false">
      <c r="A1867" s="0" t="s">
        <v>2908</v>
      </c>
      <c r="B1867" s="0" t="s">
        <v>386</v>
      </c>
      <c r="D1867" s="46" t="n">
        <v>45800</v>
      </c>
      <c r="E1867" s="47" t="s">
        <v>59</v>
      </c>
      <c r="F1867" s="48" t="n">
        <v>34415.66</v>
      </c>
      <c r="G1867" s="47" t="s">
        <v>57</v>
      </c>
      <c r="H1867" s="47" t="s">
        <v>39</v>
      </c>
      <c r="I1867" s="47" t="s">
        <v>98</v>
      </c>
      <c r="J1867" s="47" t="s">
        <v>28</v>
      </c>
      <c r="K1867" s="47" t="s">
        <v>33</v>
      </c>
    </row>
    <row r="1868" customFormat="false" ht="15" hidden="false" customHeight="false" outlineLevel="0" collapsed="false">
      <c r="A1868" s="0" t="s">
        <v>2909</v>
      </c>
      <c r="B1868" s="0" t="s">
        <v>2120</v>
      </c>
      <c r="D1868" s="46" t="n">
        <v>45660</v>
      </c>
      <c r="E1868" s="47" t="s">
        <v>55</v>
      </c>
      <c r="F1868" s="48" t="n">
        <v>173920.43</v>
      </c>
      <c r="G1868" s="47" t="s">
        <v>68</v>
      </c>
      <c r="H1868" s="47" t="s">
        <v>41</v>
      </c>
      <c r="I1868" s="47" t="s">
        <v>272</v>
      </c>
      <c r="J1868" s="47" t="s">
        <v>28</v>
      </c>
      <c r="K1868" s="47" t="s">
        <v>33</v>
      </c>
    </row>
    <row r="1869" customFormat="false" ht="15" hidden="false" customHeight="false" outlineLevel="0" collapsed="false">
      <c r="A1869" s="0" t="s">
        <v>2910</v>
      </c>
      <c r="B1869" s="0" t="s">
        <v>538</v>
      </c>
      <c r="D1869" s="46" t="n">
        <v>45744</v>
      </c>
      <c r="E1869" s="47" t="s">
        <v>62</v>
      </c>
      <c r="F1869" s="48" t="n">
        <v>108182.69</v>
      </c>
      <c r="G1869" s="47" t="s">
        <v>66</v>
      </c>
      <c r="H1869" s="47" t="s">
        <v>46</v>
      </c>
      <c r="I1869" s="47" t="s">
        <v>242</v>
      </c>
      <c r="J1869" s="47" t="s">
        <v>28</v>
      </c>
      <c r="K1869" s="47" t="s">
        <v>33</v>
      </c>
    </row>
    <row r="1870" customFormat="false" ht="15" hidden="false" customHeight="false" outlineLevel="0" collapsed="false">
      <c r="A1870" s="0" t="s">
        <v>2911</v>
      </c>
      <c r="B1870" s="0" t="s">
        <v>267</v>
      </c>
      <c r="C1870" s="0" t="s">
        <v>2912</v>
      </c>
      <c r="D1870" s="46" t="n">
        <v>46281</v>
      </c>
      <c r="E1870" s="47" t="s">
        <v>59</v>
      </c>
      <c r="F1870" s="48" t="n">
        <v>9730.62</v>
      </c>
      <c r="G1870" s="47" t="s">
        <v>65</v>
      </c>
      <c r="H1870" s="47" t="s">
        <v>46</v>
      </c>
      <c r="I1870" s="47" t="s">
        <v>242</v>
      </c>
      <c r="J1870" s="47" t="s">
        <v>28</v>
      </c>
      <c r="K1870" s="47" t="s">
        <v>34</v>
      </c>
    </row>
    <row r="1871" customFormat="false" ht="15" hidden="false" customHeight="false" outlineLevel="0" collapsed="false">
      <c r="A1871" s="0" t="s">
        <v>2913</v>
      </c>
      <c r="B1871" s="0" t="s">
        <v>1270</v>
      </c>
      <c r="D1871" s="46" t="n">
        <v>45871</v>
      </c>
      <c r="E1871" s="47" t="s">
        <v>59</v>
      </c>
      <c r="F1871" s="48" t="n">
        <v>88412.96</v>
      </c>
      <c r="G1871" s="47" t="s">
        <v>57</v>
      </c>
      <c r="H1871" s="47" t="s">
        <v>44</v>
      </c>
      <c r="I1871" s="47" t="s">
        <v>132</v>
      </c>
      <c r="J1871" s="47" t="s">
        <v>28</v>
      </c>
      <c r="K1871" s="47" t="s">
        <v>33</v>
      </c>
    </row>
    <row r="1872" customFormat="false" ht="15" hidden="false" customHeight="false" outlineLevel="0" collapsed="false">
      <c r="A1872" s="0" t="s">
        <v>2914</v>
      </c>
      <c r="B1872" s="0" t="s">
        <v>837</v>
      </c>
      <c r="C1872" s="0" t="s">
        <v>1060</v>
      </c>
      <c r="D1872" s="46" t="n">
        <v>45827</v>
      </c>
      <c r="E1872" s="47" t="s">
        <v>58</v>
      </c>
      <c r="F1872" s="48" t="n">
        <v>77247.85</v>
      </c>
      <c r="G1872" s="47" t="s">
        <v>53</v>
      </c>
      <c r="H1872" s="47" t="s">
        <v>39</v>
      </c>
      <c r="I1872" s="47" t="s">
        <v>177</v>
      </c>
      <c r="J1872" s="47" t="s">
        <v>28</v>
      </c>
      <c r="K1872" s="47" t="s">
        <v>34</v>
      </c>
    </row>
    <row r="1873" customFormat="false" ht="15" hidden="false" customHeight="false" outlineLevel="0" collapsed="false">
      <c r="A1873" s="0" t="s">
        <v>2915</v>
      </c>
      <c r="B1873" s="0" t="s">
        <v>753</v>
      </c>
      <c r="D1873" s="46" t="n">
        <v>45907</v>
      </c>
      <c r="E1873" s="47" t="s">
        <v>61</v>
      </c>
      <c r="F1873" s="48" t="n">
        <v>69193.57</v>
      </c>
      <c r="G1873" s="47" t="s">
        <v>57</v>
      </c>
      <c r="H1873" s="47" t="s">
        <v>46</v>
      </c>
      <c r="I1873" s="47" t="s">
        <v>242</v>
      </c>
      <c r="J1873" s="47" t="s">
        <v>28</v>
      </c>
      <c r="K1873" s="47" t="s">
        <v>33</v>
      </c>
    </row>
    <row r="1874" customFormat="false" ht="15" hidden="false" customHeight="false" outlineLevel="0" collapsed="false">
      <c r="A1874" s="0" t="s">
        <v>2916</v>
      </c>
      <c r="B1874" s="0" t="s">
        <v>2917</v>
      </c>
      <c r="D1874" s="46" t="n">
        <v>46055</v>
      </c>
      <c r="E1874" s="47" t="s">
        <v>59</v>
      </c>
      <c r="F1874" s="48" t="n">
        <v>105124.36</v>
      </c>
      <c r="G1874" s="47" t="s">
        <v>65</v>
      </c>
      <c r="H1874" s="47" t="s">
        <v>47</v>
      </c>
      <c r="I1874" s="47" t="s">
        <v>108</v>
      </c>
      <c r="J1874" s="47" t="s">
        <v>28</v>
      </c>
      <c r="K1874" s="47" t="s">
        <v>34</v>
      </c>
    </row>
    <row r="1875" customFormat="false" ht="15" hidden="false" customHeight="false" outlineLevel="0" collapsed="false">
      <c r="A1875" s="0" t="s">
        <v>2918</v>
      </c>
      <c r="B1875" s="0" t="s">
        <v>944</v>
      </c>
      <c r="D1875" s="46" t="n">
        <v>46288</v>
      </c>
      <c r="E1875" s="47" t="s">
        <v>55</v>
      </c>
      <c r="F1875" s="48" t="n">
        <v>159770.75</v>
      </c>
      <c r="G1875" s="47" t="s">
        <v>53</v>
      </c>
      <c r="H1875" s="47" t="s">
        <v>45</v>
      </c>
      <c r="I1875" s="47" t="s">
        <v>217</v>
      </c>
      <c r="J1875" s="47" t="s">
        <v>28</v>
      </c>
      <c r="K1875" s="47" t="s">
        <v>34</v>
      </c>
    </row>
    <row r="1876" customFormat="false" ht="15" hidden="false" customHeight="false" outlineLevel="0" collapsed="false">
      <c r="A1876" s="0" t="s">
        <v>2919</v>
      </c>
      <c r="B1876" s="0" t="s">
        <v>1415</v>
      </c>
      <c r="D1876" s="46" t="n">
        <v>45964</v>
      </c>
      <c r="E1876" s="47" t="s">
        <v>61</v>
      </c>
      <c r="F1876" s="48" t="n">
        <v>81283.86</v>
      </c>
      <c r="G1876" s="47" t="s">
        <v>53</v>
      </c>
      <c r="H1876" s="47" t="s">
        <v>45</v>
      </c>
      <c r="I1876" s="47" t="s">
        <v>151</v>
      </c>
      <c r="J1876" s="47" t="s">
        <v>29</v>
      </c>
      <c r="K1876" s="47" t="s">
        <v>33</v>
      </c>
    </row>
    <row r="1877" customFormat="false" ht="15" hidden="false" customHeight="false" outlineLevel="0" collapsed="false">
      <c r="A1877" s="0" t="s">
        <v>2920</v>
      </c>
      <c r="B1877" s="0" t="s">
        <v>153</v>
      </c>
      <c r="D1877" s="46" t="n">
        <v>45900</v>
      </c>
      <c r="E1877" s="47" t="s">
        <v>58</v>
      </c>
      <c r="F1877" s="48" t="n">
        <v>187708.59</v>
      </c>
      <c r="G1877" s="47" t="s">
        <v>66</v>
      </c>
      <c r="H1877" s="47" t="s">
        <v>40</v>
      </c>
      <c r="I1877" s="47" t="s">
        <v>89</v>
      </c>
      <c r="J1877" s="47" t="s">
        <v>28</v>
      </c>
      <c r="K1877" s="47" t="s">
        <v>33</v>
      </c>
    </row>
    <row r="1878" customFormat="false" ht="15" hidden="false" customHeight="false" outlineLevel="0" collapsed="false">
      <c r="A1878" s="0" t="s">
        <v>2921</v>
      </c>
      <c r="B1878" s="0" t="s">
        <v>868</v>
      </c>
      <c r="D1878" s="46" t="n">
        <v>45759</v>
      </c>
      <c r="E1878" s="47" t="s">
        <v>58</v>
      </c>
      <c r="F1878" s="48" t="n">
        <v>113862.88</v>
      </c>
      <c r="G1878" s="47" t="s">
        <v>57</v>
      </c>
      <c r="H1878" s="47" t="s">
        <v>46</v>
      </c>
      <c r="I1878" s="47" t="s">
        <v>121</v>
      </c>
      <c r="J1878" s="47" t="s">
        <v>28</v>
      </c>
      <c r="K1878" s="47" t="s">
        <v>33</v>
      </c>
    </row>
    <row r="1879" customFormat="false" ht="15" hidden="false" customHeight="false" outlineLevel="0" collapsed="false">
      <c r="A1879" s="0" t="s">
        <v>2922</v>
      </c>
      <c r="B1879" s="0" t="s">
        <v>1469</v>
      </c>
      <c r="D1879" s="46" t="n">
        <v>45705</v>
      </c>
      <c r="E1879" s="47" t="s">
        <v>59</v>
      </c>
      <c r="F1879" s="48" t="n">
        <v>60319.54</v>
      </c>
      <c r="G1879" s="47" t="s">
        <v>68</v>
      </c>
      <c r="H1879" s="47" t="s">
        <v>48</v>
      </c>
      <c r="I1879" s="47" t="s">
        <v>114</v>
      </c>
      <c r="J1879" s="47" t="s">
        <v>28</v>
      </c>
      <c r="K1879" s="47" t="s">
        <v>34</v>
      </c>
    </row>
    <row r="1880" customFormat="false" ht="15" hidden="false" customHeight="false" outlineLevel="0" collapsed="false">
      <c r="A1880" s="0" t="s">
        <v>2923</v>
      </c>
      <c r="B1880" s="0" t="s">
        <v>2037</v>
      </c>
      <c r="D1880" s="46" t="n">
        <v>46162</v>
      </c>
      <c r="E1880" s="47" t="s">
        <v>62</v>
      </c>
      <c r="F1880" s="48" t="n">
        <v>33873.79</v>
      </c>
      <c r="G1880" s="47" t="s">
        <v>57</v>
      </c>
      <c r="H1880" s="47" t="s">
        <v>43</v>
      </c>
      <c r="I1880" s="47" t="s">
        <v>117</v>
      </c>
      <c r="J1880" s="47" t="s">
        <v>28</v>
      </c>
      <c r="K1880" s="47" t="s">
        <v>33</v>
      </c>
    </row>
    <row r="1881" customFormat="false" ht="15" hidden="false" customHeight="false" outlineLevel="0" collapsed="false">
      <c r="A1881" s="0" t="s">
        <v>2924</v>
      </c>
      <c r="B1881" s="0" t="s">
        <v>1599</v>
      </c>
      <c r="D1881" s="46" t="n">
        <v>46148</v>
      </c>
      <c r="E1881" s="47" t="s">
        <v>58</v>
      </c>
      <c r="F1881" s="48" t="n">
        <v>180786.87</v>
      </c>
      <c r="G1881" s="47" t="s">
        <v>53</v>
      </c>
      <c r="H1881" s="47" t="s">
        <v>44</v>
      </c>
      <c r="I1881" s="47" t="s">
        <v>80</v>
      </c>
      <c r="J1881" s="47" t="s">
        <v>28</v>
      </c>
      <c r="K1881" s="47" t="s">
        <v>33</v>
      </c>
    </row>
    <row r="1882" customFormat="false" ht="15" hidden="false" customHeight="false" outlineLevel="0" collapsed="false">
      <c r="A1882" s="0" t="s">
        <v>2925</v>
      </c>
      <c r="B1882" s="0" t="s">
        <v>1570</v>
      </c>
      <c r="D1882" s="46" t="n">
        <v>45743</v>
      </c>
      <c r="E1882" s="47" t="s">
        <v>60</v>
      </c>
      <c r="F1882" s="48" t="n">
        <v>92287.97</v>
      </c>
      <c r="G1882" s="47" t="s">
        <v>65</v>
      </c>
      <c r="H1882" s="47" t="s">
        <v>45</v>
      </c>
      <c r="I1882" s="47" t="s">
        <v>95</v>
      </c>
      <c r="J1882" s="47" t="s">
        <v>28</v>
      </c>
      <c r="K1882" s="47" t="s">
        <v>33</v>
      </c>
    </row>
    <row r="1883" customFormat="false" ht="15" hidden="false" customHeight="false" outlineLevel="0" collapsed="false">
      <c r="A1883" s="0" t="s">
        <v>2926</v>
      </c>
      <c r="B1883" s="0" t="s">
        <v>777</v>
      </c>
      <c r="D1883" s="46" t="n">
        <v>46004</v>
      </c>
      <c r="E1883" s="47" t="s">
        <v>62</v>
      </c>
      <c r="F1883" s="48" t="n">
        <v>148045.39</v>
      </c>
      <c r="G1883" s="47" t="s">
        <v>65</v>
      </c>
      <c r="H1883" s="47" t="s">
        <v>39</v>
      </c>
      <c r="I1883" s="47" t="s">
        <v>177</v>
      </c>
      <c r="J1883" s="47" t="s">
        <v>30</v>
      </c>
      <c r="K1883" s="47" t="s">
        <v>33</v>
      </c>
    </row>
    <row r="1884" customFormat="false" ht="15" hidden="false" customHeight="false" outlineLevel="0" collapsed="false">
      <c r="A1884" s="0" t="s">
        <v>2927</v>
      </c>
      <c r="B1884" s="0" t="s">
        <v>461</v>
      </c>
      <c r="D1884" s="46" t="n">
        <v>45850</v>
      </c>
      <c r="E1884" s="47" t="s">
        <v>59</v>
      </c>
      <c r="F1884" s="48" t="n">
        <v>149722.27</v>
      </c>
      <c r="G1884" s="47" t="s">
        <v>57</v>
      </c>
      <c r="H1884" s="47" t="s">
        <v>48</v>
      </c>
      <c r="I1884" s="47" t="s">
        <v>111</v>
      </c>
      <c r="J1884" s="47" t="s">
        <v>28</v>
      </c>
      <c r="K1884" s="47" t="s">
        <v>34</v>
      </c>
    </row>
    <row r="1885" customFormat="false" ht="15" hidden="false" customHeight="false" outlineLevel="0" collapsed="false">
      <c r="A1885" s="0" t="s">
        <v>2928</v>
      </c>
      <c r="B1885" s="0" t="s">
        <v>571</v>
      </c>
      <c r="D1885" s="46" t="n">
        <v>45711</v>
      </c>
      <c r="E1885" s="47" t="s">
        <v>61</v>
      </c>
      <c r="F1885" s="48" t="n">
        <v>127551.9</v>
      </c>
      <c r="G1885" s="47" t="s">
        <v>66</v>
      </c>
      <c r="H1885" s="47" t="s">
        <v>43</v>
      </c>
      <c r="I1885" s="47" t="s">
        <v>201</v>
      </c>
      <c r="J1885" s="47" t="s">
        <v>28</v>
      </c>
      <c r="K1885" s="47" t="s">
        <v>34</v>
      </c>
    </row>
    <row r="1886" customFormat="false" ht="15" hidden="false" customHeight="false" outlineLevel="0" collapsed="false">
      <c r="A1886" s="0" t="s">
        <v>2929</v>
      </c>
      <c r="B1886" s="0" t="s">
        <v>2930</v>
      </c>
      <c r="C1886" s="0" t="s">
        <v>2931</v>
      </c>
      <c r="D1886" s="46" t="n">
        <v>46234</v>
      </c>
      <c r="E1886" s="47" t="s">
        <v>58</v>
      </c>
      <c r="F1886" s="48" t="n">
        <v>115246.96</v>
      </c>
      <c r="G1886" s="47" t="s">
        <v>53</v>
      </c>
      <c r="H1886" s="47" t="s">
        <v>44</v>
      </c>
      <c r="I1886" s="47" t="s">
        <v>132</v>
      </c>
      <c r="J1886" s="47" t="s">
        <v>28</v>
      </c>
      <c r="K1886" s="47" t="s">
        <v>34</v>
      </c>
    </row>
    <row r="1887" customFormat="false" ht="15" hidden="false" customHeight="false" outlineLevel="0" collapsed="false">
      <c r="A1887" s="0" t="s">
        <v>2932</v>
      </c>
      <c r="B1887" s="0" t="s">
        <v>961</v>
      </c>
      <c r="D1887" s="46" t="n">
        <v>46099</v>
      </c>
      <c r="E1887" s="47" t="s">
        <v>59</v>
      </c>
      <c r="F1887" s="48" t="n">
        <v>56054.17</v>
      </c>
      <c r="G1887" s="47" t="s">
        <v>66</v>
      </c>
      <c r="H1887" s="47" t="s">
        <v>42</v>
      </c>
      <c r="I1887" s="47" t="s">
        <v>398</v>
      </c>
      <c r="J1887" s="47" t="s">
        <v>28</v>
      </c>
      <c r="K1887" s="47" t="s">
        <v>33</v>
      </c>
    </row>
    <row r="1888" customFormat="false" ht="15" hidden="false" customHeight="false" outlineLevel="0" collapsed="false">
      <c r="A1888" s="0" t="s">
        <v>2933</v>
      </c>
      <c r="B1888" s="0" t="s">
        <v>1124</v>
      </c>
      <c r="D1888" s="46" t="n">
        <v>45934</v>
      </c>
      <c r="E1888" s="47" t="s">
        <v>55</v>
      </c>
      <c r="F1888" s="48" t="n">
        <v>73708.87</v>
      </c>
      <c r="G1888" s="47" t="s">
        <v>66</v>
      </c>
      <c r="H1888" s="47" t="s">
        <v>47</v>
      </c>
      <c r="I1888" s="47" t="s">
        <v>108</v>
      </c>
      <c r="J1888" s="47" t="s">
        <v>28</v>
      </c>
      <c r="K1888" s="47" t="s">
        <v>33</v>
      </c>
    </row>
    <row r="1889" customFormat="false" ht="15" hidden="false" customHeight="false" outlineLevel="0" collapsed="false">
      <c r="A1889" s="0" t="s">
        <v>2934</v>
      </c>
      <c r="B1889" s="0" t="s">
        <v>544</v>
      </c>
      <c r="D1889" s="46" t="n">
        <v>45894</v>
      </c>
      <c r="E1889" s="47" t="s">
        <v>53</v>
      </c>
      <c r="F1889" s="48" t="n">
        <v>121120.71</v>
      </c>
      <c r="G1889" s="47" t="s">
        <v>65</v>
      </c>
      <c r="H1889" s="47" t="s">
        <v>44</v>
      </c>
      <c r="I1889" s="47" t="s">
        <v>80</v>
      </c>
      <c r="J1889" s="47" t="s">
        <v>29</v>
      </c>
      <c r="K1889" s="47" t="s">
        <v>33</v>
      </c>
    </row>
    <row r="1890" customFormat="false" ht="15" hidden="false" customHeight="false" outlineLevel="0" collapsed="false">
      <c r="A1890" s="0" t="s">
        <v>2935</v>
      </c>
      <c r="B1890" s="0" t="s">
        <v>952</v>
      </c>
      <c r="D1890" s="46" t="n">
        <v>45984</v>
      </c>
      <c r="E1890" s="47" t="s">
        <v>53</v>
      </c>
      <c r="F1890" s="48" t="n">
        <v>41346.94</v>
      </c>
      <c r="G1890" s="47" t="s">
        <v>57</v>
      </c>
      <c r="H1890" s="47" t="s">
        <v>40</v>
      </c>
      <c r="I1890" s="47" t="s">
        <v>89</v>
      </c>
      <c r="J1890" s="47" t="s">
        <v>28</v>
      </c>
      <c r="K1890" s="47" t="s">
        <v>33</v>
      </c>
    </row>
    <row r="1891" customFormat="false" ht="15" hidden="false" customHeight="false" outlineLevel="0" collapsed="false">
      <c r="A1891" s="0" t="s">
        <v>2936</v>
      </c>
      <c r="B1891" s="0" t="s">
        <v>634</v>
      </c>
      <c r="D1891" s="46" t="n">
        <v>46190</v>
      </c>
      <c r="E1891" s="47" t="s">
        <v>62</v>
      </c>
      <c r="F1891" s="48" t="n">
        <v>192451.72</v>
      </c>
      <c r="G1891" s="47" t="s">
        <v>57</v>
      </c>
      <c r="H1891" s="47" t="s">
        <v>44</v>
      </c>
      <c r="I1891" s="47" t="s">
        <v>132</v>
      </c>
      <c r="J1891" s="47" t="s">
        <v>28</v>
      </c>
      <c r="K1891" s="47" t="s">
        <v>33</v>
      </c>
    </row>
    <row r="1892" customFormat="false" ht="15" hidden="false" customHeight="false" outlineLevel="0" collapsed="false">
      <c r="A1892" s="0" t="s">
        <v>2937</v>
      </c>
      <c r="B1892" s="0" t="s">
        <v>613</v>
      </c>
      <c r="D1892" s="46" t="n">
        <v>45998</v>
      </c>
      <c r="E1892" s="47" t="s">
        <v>60</v>
      </c>
      <c r="F1892" s="48" t="n">
        <v>136397.88</v>
      </c>
      <c r="G1892" s="47" t="s">
        <v>65</v>
      </c>
      <c r="H1892" s="47" t="s">
        <v>44</v>
      </c>
      <c r="I1892" s="47" t="s">
        <v>80</v>
      </c>
      <c r="J1892" s="47" t="s">
        <v>28</v>
      </c>
      <c r="K1892" s="47" t="s">
        <v>34</v>
      </c>
    </row>
    <row r="1893" customFormat="false" ht="15" hidden="false" customHeight="false" outlineLevel="0" collapsed="false">
      <c r="A1893" s="0" t="s">
        <v>2938</v>
      </c>
      <c r="B1893" s="0" t="s">
        <v>806</v>
      </c>
      <c r="D1893" s="46" t="n">
        <v>46294</v>
      </c>
      <c r="E1893" s="47" t="s">
        <v>62</v>
      </c>
      <c r="F1893" s="48" t="n">
        <v>7663.41</v>
      </c>
      <c r="G1893" s="47" t="s">
        <v>57</v>
      </c>
      <c r="H1893" s="47" t="s">
        <v>47</v>
      </c>
      <c r="I1893" s="47" t="s">
        <v>108</v>
      </c>
      <c r="J1893" s="47" t="s">
        <v>28</v>
      </c>
      <c r="K1893" s="47" t="s">
        <v>33</v>
      </c>
    </row>
    <row r="1894" customFormat="false" ht="15" hidden="false" customHeight="false" outlineLevel="0" collapsed="false">
      <c r="A1894" s="0" t="s">
        <v>2939</v>
      </c>
      <c r="B1894" s="0" t="s">
        <v>1490</v>
      </c>
      <c r="D1894" s="46" t="n">
        <v>45859</v>
      </c>
      <c r="E1894" s="47" t="s">
        <v>60</v>
      </c>
      <c r="F1894" s="48" t="n">
        <v>43367.98</v>
      </c>
      <c r="G1894" s="47" t="s">
        <v>53</v>
      </c>
      <c r="H1894" s="47" t="s">
        <v>40</v>
      </c>
      <c r="I1894" s="47" t="s">
        <v>83</v>
      </c>
      <c r="J1894" s="47" t="s">
        <v>28</v>
      </c>
      <c r="K1894" s="47" t="s">
        <v>34</v>
      </c>
    </row>
    <row r="1895" customFormat="false" ht="15" hidden="false" customHeight="false" outlineLevel="0" collapsed="false">
      <c r="A1895" s="0" t="s">
        <v>2940</v>
      </c>
      <c r="B1895" s="0" t="s">
        <v>1469</v>
      </c>
      <c r="D1895" s="46" t="n">
        <v>46174</v>
      </c>
      <c r="E1895" s="47" t="s">
        <v>53</v>
      </c>
      <c r="F1895" s="48" t="n">
        <v>129453.11</v>
      </c>
      <c r="G1895" s="47" t="s">
        <v>66</v>
      </c>
      <c r="H1895" s="47" t="s">
        <v>48</v>
      </c>
      <c r="I1895" s="47" t="s">
        <v>114</v>
      </c>
      <c r="J1895" s="47" t="s">
        <v>28</v>
      </c>
      <c r="K1895" s="47" t="s">
        <v>33</v>
      </c>
    </row>
    <row r="1896" customFormat="false" ht="15" hidden="false" customHeight="false" outlineLevel="0" collapsed="false">
      <c r="A1896" s="0" t="s">
        <v>2941</v>
      </c>
      <c r="B1896" s="0" t="s">
        <v>263</v>
      </c>
      <c r="D1896" s="46" t="n">
        <v>45962</v>
      </c>
      <c r="E1896" s="47" t="s">
        <v>58</v>
      </c>
      <c r="F1896" s="48" t="n">
        <v>70975.67</v>
      </c>
      <c r="G1896" s="47" t="s">
        <v>65</v>
      </c>
      <c r="H1896" s="47" t="s">
        <v>46</v>
      </c>
      <c r="I1896" s="47" t="s">
        <v>121</v>
      </c>
      <c r="J1896" s="47" t="s">
        <v>28</v>
      </c>
      <c r="K1896" s="47" t="s">
        <v>33</v>
      </c>
    </row>
    <row r="1897" customFormat="false" ht="15" hidden="false" customHeight="false" outlineLevel="0" collapsed="false">
      <c r="A1897" s="0" t="s">
        <v>2942</v>
      </c>
      <c r="B1897" s="0" t="s">
        <v>354</v>
      </c>
      <c r="D1897" s="46" t="n">
        <v>45685</v>
      </c>
      <c r="E1897" s="47" t="s">
        <v>61</v>
      </c>
      <c r="F1897" s="48" t="n">
        <v>18344.91</v>
      </c>
      <c r="G1897" s="47" t="s">
        <v>53</v>
      </c>
      <c r="H1897" s="47" t="s">
        <v>40</v>
      </c>
      <c r="I1897" s="47" t="s">
        <v>89</v>
      </c>
      <c r="J1897" s="47" t="s">
        <v>28</v>
      </c>
      <c r="K1897" s="47" t="s">
        <v>33</v>
      </c>
    </row>
    <row r="1898" customFormat="false" ht="15" hidden="false" customHeight="false" outlineLevel="0" collapsed="false">
      <c r="A1898" s="0" t="s">
        <v>2943</v>
      </c>
      <c r="B1898" s="0" t="s">
        <v>810</v>
      </c>
      <c r="D1898" s="46" t="n">
        <v>45751</v>
      </c>
      <c r="E1898" s="47" t="s">
        <v>62</v>
      </c>
      <c r="F1898" s="48" t="n">
        <v>19656.7</v>
      </c>
      <c r="G1898" s="47" t="s">
        <v>57</v>
      </c>
      <c r="H1898" s="47" t="s">
        <v>47</v>
      </c>
      <c r="I1898" s="47" t="s">
        <v>166</v>
      </c>
      <c r="J1898" s="47" t="s">
        <v>29</v>
      </c>
      <c r="K1898" s="47" t="s">
        <v>33</v>
      </c>
    </row>
    <row r="1899" customFormat="false" ht="15" hidden="false" customHeight="false" outlineLevel="0" collapsed="false">
      <c r="A1899" s="0" t="s">
        <v>2944</v>
      </c>
      <c r="B1899" s="0" t="s">
        <v>2388</v>
      </c>
      <c r="D1899" s="46" t="n">
        <v>45832</v>
      </c>
      <c r="E1899" s="47" t="s">
        <v>53</v>
      </c>
      <c r="F1899" s="48" t="n">
        <v>19410.44</v>
      </c>
      <c r="G1899" s="47" t="s">
        <v>53</v>
      </c>
      <c r="H1899" s="47" t="s">
        <v>43</v>
      </c>
      <c r="I1899" s="47" t="s">
        <v>102</v>
      </c>
      <c r="J1899" s="47" t="s">
        <v>29</v>
      </c>
      <c r="K1899" s="47" t="s">
        <v>33</v>
      </c>
    </row>
    <row r="1900" customFormat="false" ht="15" hidden="false" customHeight="false" outlineLevel="0" collapsed="false">
      <c r="A1900" s="0" t="s">
        <v>2945</v>
      </c>
      <c r="B1900" s="0" t="s">
        <v>263</v>
      </c>
      <c r="D1900" s="46" t="n">
        <v>45760</v>
      </c>
      <c r="E1900" s="47" t="s">
        <v>60</v>
      </c>
      <c r="F1900" s="48" t="n">
        <v>81987.55</v>
      </c>
      <c r="G1900" s="47" t="s">
        <v>65</v>
      </c>
      <c r="H1900" s="47" t="s">
        <v>46</v>
      </c>
      <c r="I1900" s="47" t="s">
        <v>121</v>
      </c>
      <c r="J1900" s="47" t="s">
        <v>28</v>
      </c>
      <c r="K1900" s="47" t="s">
        <v>34</v>
      </c>
    </row>
    <row r="1901" customFormat="false" ht="15" hidden="false" customHeight="false" outlineLevel="0" collapsed="false">
      <c r="A1901" s="0" t="s">
        <v>2946</v>
      </c>
      <c r="B1901" s="0" t="s">
        <v>2947</v>
      </c>
      <c r="C1901" s="0" t="s">
        <v>2948</v>
      </c>
      <c r="D1901" s="46" t="n">
        <v>46108</v>
      </c>
      <c r="E1901" s="47" t="s">
        <v>60</v>
      </c>
      <c r="F1901" s="48" t="n">
        <v>39773.48</v>
      </c>
      <c r="G1901" s="47" t="s">
        <v>68</v>
      </c>
      <c r="H1901" s="47" t="s">
        <v>44</v>
      </c>
      <c r="I1901" s="47" t="s">
        <v>132</v>
      </c>
      <c r="J1901" s="47" t="s">
        <v>28</v>
      </c>
      <c r="K1901" s="47" t="s">
        <v>34</v>
      </c>
    </row>
    <row r="1902" customFormat="false" ht="15" hidden="false" customHeight="false" outlineLevel="0" collapsed="false">
      <c r="A1902" s="0" t="s">
        <v>2949</v>
      </c>
      <c r="B1902" s="0" t="s">
        <v>913</v>
      </c>
      <c r="D1902" s="46" t="n">
        <v>45771</v>
      </c>
      <c r="E1902" s="47" t="s">
        <v>53</v>
      </c>
      <c r="F1902" s="48" t="n">
        <v>50867.93</v>
      </c>
      <c r="G1902" s="47" t="s">
        <v>68</v>
      </c>
      <c r="H1902" s="47" t="s">
        <v>48</v>
      </c>
      <c r="I1902" s="47" t="s">
        <v>114</v>
      </c>
      <c r="J1902" s="47" t="s">
        <v>28</v>
      </c>
      <c r="K1902" s="47" t="s">
        <v>33</v>
      </c>
    </row>
    <row r="1903" customFormat="false" ht="15" hidden="false" customHeight="false" outlineLevel="0" collapsed="false">
      <c r="A1903" s="0" t="s">
        <v>2950</v>
      </c>
      <c r="B1903" s="0" t="s">
        <v>2589</v>
      </c>
      <c r="D1903" s="46" t="n">
        <v>45933</v>
      </c>
      <c r="E1903" s="47" t="s">
        <v>53</v>
      </c>
      <c r="F1903" s="48" t="n">
        <v>160814.7</v>
      </c>
      <c r="G1903" s="47" t="s">
        <v>66</v>
      </c>
      <c r="H1903" s="47" t="s">
        <v>42</v>
      </c>
      <c r="I1903" s="47" t="s">
        <v>398</v>
      </c>
      <c r="J1903" s="47" t="s">
        <v>28</v>
      </c>
      <c r="K1903" s="47" t="s">
        <v>33</v>
      </c>
    </row>
    <row r="1904" customFormat="false" ht="15" hidden="false" customHeight="false" outlineLevel="0" collapsed="false">
      <c r="A1904" s="0" t="s">
        <v>2951</v>
      </c>
      <c r="B1904" s="0" t="s">
        <v>826</v>
      </c>
      <c r="D1904" s="46" t="n">
        <v>46260</v>
      </c>
      <c r="E1904" s="47" t="s">
        <v>61</v>
      </c>
      <c r="F1904" s="48" t="n">
        <v>163480.12</v>
      </c>
      <c r="G1904" s="47" t="s">
        <v>68</v>
      </c>
      <c r="H1904" s="47" t="s">
        <v>42</v>
      </c>
      <c r="I1904" s="47" t="s">
        <v>105</v>
      </c>
      <c r="J1904" s="47" t="s">
        <v>28</v>
      </c>
      <c r="K1904" s="47" t="s">
        <v>34</v>
      </c>
    </row>
    <row r="1905" customFormat="false" ht="15" hidden="false" customHeight="false" outlineLevel="0" collapsed="false">
      <c r="A1905" s="0" t="s">
        <v>2952</v>
      </c>
      <c r="B1905" s="0" t="s">
        <v>397</v>
      </c>
      <c r="D1905" s="46" t="n">
        <v>45757</v>
      </c>
      <c r="E1905" s="47" t="s">
        <v>53</v>
      </c>
      <c r="F1905" s="48" t="n">
        <v>127993.23</v>
      </c>
      <c r="G1905" s="47" t="s">
        <v>65</v>
      </c>
      <c r="H1905" s="47" t="s">
        <v>42</v>
      </c>
      <c r="I1905" s="47" t="s">
        <v>398</v>
      </c>
      <c r="J1905" s="47" t="s">
        <v>28</v>
      </c>
      <c r="K1905" s="47" t="s">
        <v>34</v>
      </c>
    </row>
    <row r="1906" customFormat="false" ht="15" hidden="false" customHeight="false" outlineLevel="0" collapsed="false">
      <c r="A1906" s="0" t="s">
        <v>2953</v>
      </c>
      <c r="B1906" s="0" t="s">
        <v>887</v>
      </c>
      <c r="D1906" s="46" t="n">
        <v>46132</v>
      </c>
      <c r="E1906" s="47" t="s">
        <v>58</v>
      </c>
      <c r="F1906" s="48" t="n">
        <v>186136.38</v>
      </c>
      <c r="G1906" s="47" t="s">
        <v>68</v>
      </c>
      <c r="H1906" s="47" t="s">
        <v>48</v>
      </c>
      <c r="I1906" s="47" t="s">
        <v>212</v>
      </c>
      <c r="J1906" s="47" t="s">
        <v>29</v>
      </c>
      <c r="K1906" s="47" t="s">
        <v>34</v>
      </c>
    </row>
    <row r="1907" customFormat="false" ht="15" hidden="false" customHeight="false" outlineLevel="0" collapsed="false">
      <c r="A1907" s="0" t="s">
        <v>2954</v>
      </c>
      <c r="B1907" s="0" t="s">
        <v>2118</v>
      </c>
      <c r="D1907" s="46" t="n">
        <v>45849</v>
      </c>
      <c r="E1907" s="47" t="s">
        <v>62</v>
      </c>
      <c r="F1907" s="48" t="n">
        <v>159214.44</v>
      </c>
      <c r="G1907" s="47" t="s">
        <v>68</v>
      </c>
      <c r="H1907" s="47" t="s">
        <v>47</v>
      </c>
      <c r="I1907" s="47" t="s">
        <v>166</v>
      </c>
      <c r="J1907" s="47" t="s">
        <v>28</v>
      </c>
      <c r="K1907" s="47" t="s">
        <v>33</v>
      </c>
    </row>
    <row r="1908" customFormat="false" ht="15" hidden="false" customHeight="false" outlineLevel="0" collapsed="false">
      <c r="A1908" s="0" t="s">
        <v>2955</v>
      </c>
      <c r="B1908" s="0" t="s">
        <v>2956</v>
      </c>
      <c r="D1908" s="46" t="n">
        <v>46214</v>
      </c>
      <c r="E1908" s="47" t="s">
        <v>62</v>
      </c>
      <c r="F1908" s="48" t="n">
        <v>172350.31</v>
      </c>
      <c r="G1908" s="47" t="s">
        <v>66</v>
      </c>
      <c r="H1908" s="47" t="s">
        <v>46</v>
      </c>
      <c r="I1908" s="47" t="s">
        <v>121</v>
      </c>
      <c r="J1908" s="47" t="s">
        <v>28</v>
      </c>
      <c r="K1908" s="47" t="s">
        <v>33</v>
      </c>
    </row>
    <row r="1909" customFormat="false" ht="15" hidden="false" customHeight="false" outlineLevel="0" collapsed="false">
      <c r="A1909" s="0" t="s">
        <v>2957</v>
      </c>
      <c r="B1909" s="0" t="s">
        <v>408</v>
      </c>
      <c r="D1909" s="46" t="n">
        <v>45697</v>
      </c>
      <c r="E1909" s="47" t="s">
        <v>61</v>
      </c>
      <c r="F1909" s="48" t="n">
        <v>166103.44</v>
      </c>
      <c r="G1909" s="47" t="s">
        <v>66</v>
      </c>
      <c r="H1909" s="47" t="s">
        <v>43</v>
      </c>
      <c r="I1909" s="47" t="s">
        <v>102</v>
      </c>
      <c r="J1909" s="47" t="s">
        <v>30</v>
      </c>
      <c r="K1909" s="47" t="s">
        <v>34</v>
      </c>
    </row>
    <row r="1910" customFormat="false" ht="15" hidden="false" customHeight="false" outlineLevel="0" collapsed="false">
      <c r="A1910" s="0" t="s">
        <v>2958</v>
      </c>
      <c r="B1910" s="0" t="s">
        <v>250</v>
      </c>
      <c r="D1910" s="46" t="n">
        <v>45658</v>
      </c>
      <c r="E1910" s="47" t="s">
        <v>59</v>
      </c>
      <c r="F1910" s="48" t="n">
        <v>191546.89</v>
      </c>
      <c r="G1910" s="47" t="s">
        <v>66</v>
      </c>
      <c r="H1910" s="47" t="s">
        <v>39</v>
      </c>
      <c r="I1910" s="47" t="s">
        <v>177</v>
      </c>
      <c r="J1910" s="47" t="s">
        <v>28</v>
      </c>
      <c r="K1910" s="47" t="s">
        <v>34</v>
      </c>
    </row>
    <row r="1911" customFormat="false" ht="15" hidden="false" customHeight="false" outlineLevel="0" collapsed="false">
      <c r="A1911" s="0" t="s">
        <v>2959</v>
      </c>
      <c r="B1911" s="0" t="s">
        <v>1590</v>
      </c>
      <c r="D1911" s="46" t="n">
        <v>46224</v>
      </c>
      <c r="E1911" s="47" t="s">
        <v>60</v>
      </c>
      <c r="F1911" s="48" t="n">
        <v>61705.9</v>
      </c>
      <c r="G1911" s="47" t="s">
        <v>57</v>
      </c>
      <c r="H1911" s="47" t="s">
        <v>44</v>
      </c>
      <c r="I1911" s="47" t="s">
        <v>132</v>
      </c>
      <c r="J1911" s="47" t="s">
        <v>29</v>
      </c>
      <c r="K1911" s="47" t="s">
        <v>34</v>
      </c>
    </row>
    <row r="1912" customFormat="false" ht="15" hidden="false" customHeight="false" outlineLevel="0" collapsed="false">
      <c r="A1912" s="0" t="s">
        <v>2960</v>
      </c>
      <c r="B1912" s="0" t="s">
        <v>520</v>
      </c>
      <c r="D1912" s="46" t="n">
        <v>46152</v>
      </c>
      <c r="E1912" s="47" t="s">
        <v>55</v>
      </c>
      <c r="F1912" s="48" t="n">
        <v>71801.63</v>
      </c>
      <c r="G1912" s="47" t="s">
        <v>66</v>
      </c>
      <c r="H1912" s="47" t="s">
        <v>47</v>
      </c>
      <c r="I1912" s="47" t="s">
        <v>108</v>
      </c>
      <c r="J1912" s="47" t="s">
        <v>28</v>
      </c>
      <c r="K1912" s="47" t="s">
        <v>33</v>
      </c>
    </row>
    <row r="1913" customFormat="false" ht="15" hidden="false" customHeight="false" outlineLevel="0" collapsed="false">
      <c r="A1913" s="0" t="s">
        <v>2961</v>
      </c>
      <c r="B1913" s="0" t="s">
        <v>2962</v>
      </c>
      <c r="D1913" s="46" t="n">
        <v>46235</v>
      </c>
      <c r="E1913" s="47" t="s">
        <v>58</v>
      </c>
      <c r="F1913" s="48" t="n">
        <v>93997.98</v>
      </c>
      <c r="G1913" s="47" t="s">
        <v>53</v>
      </c>
      <c r="H1913" s="47" t="s">
        <v>47</v>
      </c>
      <c r="I1913" s="47" t="s">
        <v>108</v>
      </c>
      <c r="J1913" s="47" t="s">
        <v>28</v>
      </c>
      <c r="K1913" s="47" t="s">
        <v>33</v>
      </c>
    </row>
    <row r="1914" customFormat="false" ht="15" hidden="false" customHeight="false" outlineLevel="0" collapsed="false">
      <c r="A1914" s="0" t="s">
        <v>2963</v>
      </c>
      <c r="B1914" s="0" t="s">
        <v>2450</v>
      </c>
      <c r="D1914" s="46" t="n">
        <v>46028</v>
      </c>
      <c r="E1914" s="47" t="s">
        <v>59</v>
      </c>
      <c r="F1914" s="48" t="n">
        <v>123846.51</v>
      </c>
      <c r="G1914" s="47" t="s">
        <v>65</v>
      </c>
      <c r="H1914" s="47" t="s">
        <v>43</v>
      </c>
      <c r="I1914" s="47" t="s">
        <v>102</v>
      </c>
      <c r="J1914" s="47" t="s">
        <v>28</v>
      </c>
      <c r="K1914" s="47" t="s">
        <v>33</v>
      </c>
    </row>
    <row r="1915" customFormat="false" ht="15" hidden="false" customHeight="false" outlineLevel="0" collapsed="false">
      <c r="A1915" s="0" t="s">
        <v>2964</v>
      </c>
      <c r="B1915" s="0" t="s">
        <v>2363</v>
      </c>
      <c r="D1915" s="46" t="n">
        <v>46184</v>
      </c>
      <c r="E1915" s="47" t="s">
        <v>60</v>
      </c>
      <c r="F1915" s="48" t="n">
        <v>193626.58</v>
      </c>
      <c r="G1915" s="47" t="s">
        <v>68</v>
      </c>
      <c r="H1915" s="47" t="s">
        <v>40</v>
      </c>
      <c r="I1915" s="47" t="s">
        <v>89</v>
      </c>
      <c r="J1915" s="47" t="s">
        <v>28</v>
      </c>
      <c r="K1915" s="47" t="s">
        <v>33</v>
      </c>
    </row>
    <row r="1916" customFormat="false" ht="15" hidden="false" customHeight="false" outlineLevel="0" collapsed="false">
      <c r="A1916" s="0" t="s">
        <v>2965</v>
      </c>
      <c r="B1916" s="0" t="s">
        <v>1485</v>
      </c>
      <c r="D1916" s="46" t="n">
        <v>46121</v>
      </c>
      <c r="E1916" s="47" t="s">
        <v>62</v>
      </c>
      <c r="F1916" s="48" t="n">
        <v>40896.74</v>
      </c>
      <c r="G1916" s="47" t="s">
        <v>68</v>
      </c>
      <c r="H1916" s="47" t="s">
        <v>42</v>
      </c>
      <c r="I1916" s="47" t="s">
        <v>105</v>
      </c>
      <c r="J1916" s="47" t="s">
        <v>28</v>
      </c>
      <c r="K1916" s="47" t="s">
        <v>33</v>
      </c>
    </row>
    <row r="1917" customFormat="false" ht="15" hidden="false" customHeight="false" outlineLevel="0" collapsed="false">
      <c r="A1917" s="0" t="s">
        <v>2966</v>
      </c>
      <c r="B1917" s="0" t="s">
        <v>1054</v>
      </c>
      <c r="D1917" s="46" t="n">
        <v>46023</v>
      </c>
      <c r="E1917" s="47" t="s">
        <v>62</v>
      </c>
      <c r="F1917" s="48" t="n">
        <v>52481.51</v>
      </c>
      <c r="G1917" s="47" t="s">
        <v>65</v>
      </c>
      <c r="H1917" s="47" t="s">
        <v>39</v>
      </c>
      <c r="I1917" s="47" t="s">
        <v>145</v>
      </c>
      <c r="J1917" s="47" t="s">
        <v>28</v>
      </c>
      <c r="K1917" s="47" t="s">
        <v>34</v>
      </c>
    </row>
    <row r="1918" customFormat="false" ht="15" hidden="false" customHeight="false" outlineLevel="0" collapsed="false">
      <c r="A1918" s="0" t="s">
        <v>2967</v>
      </c>
      <c r="B1918" s="0" t="s">
        <v>1429</v>
      </c>
      <c r="D1918" s="46" t="n">
        <v>46150</v>
      </c>
      <c r="E1918" s="47" t="s">
        <v>53</v>
      </c>
      <c r="F1918" s="48" t="n">
        <v>190373.34</v>
      </c>
      <c r="G1918" s="47" t="s">
        <v>66</v>
      </c>
      <c r="H1918" s="47" t="s">
        <v>40</v>
      </c>
      <c r="I1918" s="47" t="s">
        <v>83</v>
      </c>
      <c r="J1918" s="47" t="s">
        <v>29</v>
      </c>
      <c r="K1918" s="47" t="s">
        <v>34</v>
      </c>
    </row>
    <row r="1919" customFormat="false" ht="15" hidden="false" customHeight="false" outlineLevel="0" collapsed="false">
      <c r="A1919" s="0" t="s">
        <v>2968</v>
      </c>
      <c r="B1919" s="0" t="s">
        <v>1124</v>
      </c>
      <c r="D1919" s="46" t="n">
        <v>46097</v>
      </c>
      <c r="E1919" s="47" t="s">
        <v>58</v>
      </c>
      <c r="F1919" s="48" t="n">
        <v>30208.56</v>
      </c>
      <c r="G1919" s="47" t="s">
        <v>53</v>
      </c>
      <c r="H1919" s="47" t="s">
        <v>47</v>
      </c>
      <c r="I1919" s="47" t="s">
        <v>108</v>
      </c>
      <c r="J1919" s="47" t="s">
        <v>28</v>
      </c>
      <c r="K1919" s="47" t="s">
        <v>34</v>
      </c>
    </row>
    <row r="1920" customFormat="false" ht="15" hidden="false" customHeight="false" outlineLevel="0" collapsed="false">
      <c r="A1920" s="0" t="s">
        <v>2969</v>
      </c>
      <c r="B1920" s="0" t="s">
        <v>1757</v>
      </c>
      <c r="D1920" s="46" t="n">
        <v>46096</v>
      </c>
      <c r="E1920" s="47" t="s">
        <v>58</v>
      </c>
      <c r="F1920" s="48" t="n">
        <v>172170.66</v>
      </c>
      <c r="G1920" s="47" t="s">
        <v>53</v>
      </c>
      <c r="H1920" s="47" t="s">
        <v>45</v>
      </c>
      <c r="I1920" s="47" t="s">
        <v>95</v>
      </c>
      <c r="J1920" s="47" t="s">
        <v>28</v>
      </c>
      <c r="K1920" s="47" t="s">
        <v>33</v>
      </c>
    </row>
    <row r="1921" customFormat="false" ht="15" hidden="false" customHeight="false" outlineLevel="0" collapsed="false">
      <c r="A1921" s="0" t="s">
        <v>2970</v>
      </c>
      <c r="B1921" s="0" t="s">
        <v>344</v>
      </c>
      <c r="D1921" s="46" t="n">
        <v>46219</v>
      </c>
      <c r="E1921" s="47" t="s">
        <v>59</v>
      </c>
      <c r="F1921" s="48" t="n">
        <v>117062.37</v>
      </c>
      <c r="G1921" s="47" t="s">
        <v>65</v>
      </c>
      <c r="H1921" s="47" t="s">
        <v>43</v>
      </c>
      <c r="I1921" s="47" t="s">
        <v>117</v>
      </c>
      <c r="J1921" s="47" t="s">
        <v>28</v>
      </c>
      <c r="K1921" s="47" t="s">
        <v>34</v>
      </c>
    </row>
    <row r="1922" customFormat="false" ht="15" hidden="false" customHeight="false" outlineLevel="0" collapsed="false">
      <c r="A1922" s="0" t="s">
        <v>2971</v>
      </c>
      <c r="B1922" s="0" t="s">
        <v>747</v>
      </c>
      <c r="D1922" s="46" t="n">
        <v>46255</v>
      </c>
      <c r="E1922" s="47" t="s">
        <v>53</v>
      </c>
      <c r="F1922" s="48" t="n">
        <v>116645.12</v>
      </c>
      <c r="G1922" s="47" t="s">
        <v>53</v>
      </c>
      <c r="H1922" s="47" t="s">
        <v>48</v>
      </c>
      <c r="I1922" s="47" t="s">
        <v>114</v>
      </c>
      <c r="J1922" s="47" t="s">
        <v>28</v>
      </c>
      <c r="K1922" s="47" t="s">
        <v>33</v>
      </c>
    </row>
    <row r="1923" customFormat="false" ht="15" hidden="false" customHeight="false" outlineLevel="0" collapsed="false">
      <c r="A1923" s="0" t="s">
        <v>2972</v>
      </c>
      <c r="B1923" s="0" t="s">
        <v>502</v>
      </c>
      <c r="D1923" s="46" t="n">
        <v>46045</v>
      </c>
      <c r="E1923" s="47" t="s">
        <v>59</v>
      </c>
      <c r="F1923" s="48" t="n">
        <v>36771.37</v>
      </c>
      <c r="G1923" s="47" t="s">
        <v>53</v>
      </c>
      <c r="H1923" s="47" t="s">
        <v>43</v>
      </c>
      <c r="I1923" s="47" t="s">
        <v>102</v>
      </c>
      <c r="J1923" s="47" t="s">
        <v>28</v>
      </c>
      <c r="K1923" s="47" t="s">
        <v>34</v>
      </c>
    </row>
    <row r="1924" customFormat="false" ht="15" hidden="false" customHeight="false" outlineLevel="0" collapsed="false">
      <c r="A1924" s="0" t="s">
        <v>2973</v>
      </c>
      <c r="B1924" s="0" t="s">
        <v>2974</v>
      </c>
      <c r="D1924" s="46" t="n">
        <v>46225</v>
      </c>
      <c r="E1924" s="47" t="s">
        <v>60</v>
      </c>
      <c r="F1924" s="48" t="n">
        <v>31347.42</v>
      </c>
      <c r="G1924" s="47" t="s">
        <v>68</v>
      </c>
      <c r="H1924" s="47" t="s">
        <v>43</v>
      </c>
      <c r="I1924" s="47" t="s">
        <v>102</v>
      </c>
      <c r="J1924" s="47" t="s">
        <v>28</v>
      </c>
      <c r="K1924" s="47" t="s">
        <v>33</v>
      </c>
    </row>
    <row r="1925" customFormat="false" ht="15" hidden="false" customHeight="false" outlineLevel="0" collapsed="false">
      <c r="A1925" s="0" t="s">
        <v>2975</v>
      </c>
      <c r="B1925" s="0" t="s">
        <v>91</v>
      </c>
      <c r="D1925" s="46" t="n">
        <v>45757</v>
      </c>
      <c r="E1925" s="47" t="s">
        <v>58</v>
      </c>
      <c r="F1925" s="48" t="n">
        <v>136587.72</v>
      </c>
      <c r="G1925" s="47" t="s">
        <v>65</v>
      </c>
      <c r="H1925" s="47" t="s">
        <v>41</v>
      </c>
      <c r="I1925" s="47" t="s">
        <v>86</v>
      </c>
      <c r="J1925" s="47" t="s">
        <v>28</v>
      </c>
      <c r="K1925" s="47" t="s">
        <v>33</v>
      </c>
    </row>
    <row r="1926" customFormat="false" ht="15" hidden="false" customHeight="false" outlineLevel="0" collapsed="false">
      <c r="A1926" s="0" t="s">
        <v>2976</v>
      </c>
      <c r="B1926" s="0" t="s">
        <v>426</v>
      </c>
      <c r="D1926" s="46" t="n">
        <v>45682</v>
      </c>
      <c r="E1926" s="47" t="s">
        <v>53</v>
      </c>
      <c r="F1926" s="48" t="n">
        <v>36378.44</v>
      </c>
      <c r="G1926" s="47" t="s">
        <v>66</v>
      </c>
      <c r="H1926" s="47" t="s">
        <v>39</v>
      </c>
      <c r="I1926" s="47" t="s">
        <v>98</v>
      </c>
      <c r="J1926" s="47" t="s">
        <v>28</v>
      </c>
      <c r="K1926" s="47" t="s">
        <v>34</v>
      </c>
    </row>
    <row r="1927" customFormat="false" ht="15" hidden="false" customHeight="false" outlineLevel="0" collapsed="false">
      <c r="A1927" s="0" t="s">
        <v>2977</v>
      </c>
      <c r="B1927" s="0" t="s">
        <v>2022</v>
      </c>
      <c r="D1927" s="46" t="n">
        <v>46069</v>
      </c>
      <c r="E1927" s="47" t="s">
        <v>62</v>
      </c>
      <c r="F1927" s="48" t="n">
        <v>94861.22</v>
      </c>
      <c r="G1927" s="47" t="s">
        <v>66</v>
      </c>
      <c r="H1927" s="47" t="s">
        <v>46</v>
      </c>
      <c r="I1927" s="47" t="s">
        <v>121</v>
      </c>
      <c r="J1927" s="47" t="s">
        <v>30</v>
      </c>
      <c r="K1927" s="47" t="s">
        <v>33</v>
      </c>
    </row>
    <row r="1928" customFormat="false" ht="15" hidden="false" customHeight="false" outlineLevel="0" collapsed="false">
      <c r="A1928" s="0" t="s">
        <v>2978</v>
      </c>
      <c r="B1928" s="0" t="s">
        <v>540</v>
      </c>
      <c r="D1928" s="46" t="n">
        <v>45851</v>
      </c>
      <c r="E1928" s="47" t="s">
        <v>59</v>
      </c>
      <c r="F1928" s="48" t="n">
        <v>133182.02</v>
      </c>
      <c r="G1928" s="47" t="s">
        <v>65</v>
      </c>
      <c r="H1928" s="47" t="s">
        <v>39</v>
      </c>
      <c r="I1928" s="47" t="s">
        <v>145</v>
      </c>
      <c r="J1928" s="47" t="s">
        <v>28</v>
      </c>
      <c r="K1928" s="47" t="s">
        <v>33</v>
      </c>
    </row>
    <row r="1929" customFormat="false" ht="15" hidden="false" customHeight="false" outlineLevel="0" collapsed="false">
      <c r="A1929" s="0" t="s">
        <v>2979</v>
      </c>
      <c r="B1929" s="0" t="s">
        <v>566</v>
      </c>
      <c r="D1929" s="46" t="n">
        <v>45879</v>
      </c>
      <c r="E1929" s="47" t="s">
        <v>53</v>
      </c>
      <c r="F1929" s="48" t="n">
        <v>16398.59</v>
      </c>
      <c r="G1929" s="47" t="s">
        <v>57</v>
      </c>
      <c r="H1929" s="47" t="s">
        <v>45</v>
      </c>
      <c r="I1929" s="47" t="s">
        <v>151</v>
      </c>
      <c r="J1929" s="47" t="s">
        <v>28</v>
      </c>
      <c r="K1929" s="47" t="s">
        <v>33</v>
      </c>
    </row>
    <row r="1930" customFormat="false" ht="15" hidden="false" customHeight="false" outlineLevel="0" collapsed="false">
      <c r="A1930" s="0" t="s">
        <v>2980</v>
      </c>
      <c r="B1930" s="0" t="s">
        <v>461</v>
      </c>
      <c r="D1930" s="46" t="n">
        <v>46079</v>
      </c>
      <c r="E1930" s="47" t="s">
        <v>59</v>
      </c>
      <c r="F1930" s="48" t="n">
        <v>166964.63</v>
      </c>
      <c r="G1930" s="47" t="s">
        <v>68</v>
      </c>
      <c r="H1930" s="47" t="s">
        <v>48</v>
      </c>
      <c r="I1930" s="47" t="s">
        <v>111</v>
      </c>
      <c r="J1930" s="47" t="s">
        <v>30</v>
      </c>
      <c r="K1930" s="47" t="s">
        <v>33</v>
      </c>
    </row>
    <row r="1931" customFormat="false" ht="15" hidden="false" customHeight="false" outlineLevel="0" collapsed="false">
      <c r="A1931" s="0" t="s">
        <v>2981</v>
      </c>
      <c r="B1931" s="0" t="s">
        <v>317</v>
      </c>
      <c r="D1931" s="46" t="n">
        <v>46110</v>
      </c>
      <c r="E1931" s="47" t="s">
        <v>60</v>
      </c>
      <c r="F1931" s="48" t="n">
        <v>116919.62</v>
      </c>
      <c r="G1931" s="47" t="s">
        <v>57</v>
      </c>
      <c r="H1931" s="47" t="s">
        <v>40</v>
      </c>
      <c r="I1931" s="47" t="s">
        <v>89</v>
      </c>
      <c r="J1931" s="47" t="s">
        <v>28</v>
      </c>
      <c r="K1931" s="47" t="s">
        <v>33</v>
      </c>
    </row>
    <row r="1932" customFormat="false" ht="15" hidden="false" customHeight="false" outlineLevel="0" collapsed="false">
      <c r="A1932" s="0" t="s">
        <v>2982</v>
      </c>
      <c r="B1932" s="0" t="s">
        <v>723</v>
      </c>
      <c r="C1932" s="0" t="s">
        <v>2983</v>
      </c>
      <c r="D1932" s="46" t="n">
        <v>45938</v>
      </c>
      <c r="E1932" s="47" t="s">
        <v>61</v>
      </c>
      <c r="F1932" s="48" t="n">
        <v>46740.89</v>
      </c>
      <c r="G1932" s="47" t="s">
        <v>65</v>
      </c>
      <c r="H1932" s="47" t="s">
        <v>48</v>
      </c>
      <c r="I1932" s="47" t="s">
        <v>212</v>
      </c>
      <c r="J1932" s="47" t="s">
        <v>28</v>
      </c>
      <c r="K1932" s="47" t="s">
        <v>33</v>
      </c>
    </row>
    <row r="1933" customFormat="false" ht="15" hidden="false" customHeight="false" outlineLevel="0" collapsed="false">
      <c r="A1933" s="0" t="s">
        <v>2984</v>
      </c>
      <c r="B1933" s="0" t="s">
        <v>2985</v>
      </c>
      <c r="D1933" s="46" t="n">
        <v>45800</v>
      </c>
      <c r="E1933" s="47" t="s">
        <v>61</v>
      </c>
      <c r="F1933" s="48" t="n">
        <v>27446.71</v>
      </c>
      <c r="G1933" s="47" t="s">
        <v>53</v>
      </c>
      <c r="H1933" s="47" t="s">
        <v>43</v>
      </c>
      <c r="I1933" s="47" t="s">
        <v>201</v>
      </c>
      <c r="J1933" s="47" t="s">
        <v>28</v>
      </c>
      <c r="K1933" s="47" t="s">
        <v>34</v>
      </c>
    </row>
    <row r="1934" customFormat="false" ht="15" hidden="false" customHeight="false" outlineLevel="0" collapsed="false">
      <c r="A1934" s="0" t="s">
        <v>2986</v>
      </c>
      <c r="B1934" s="0" t="s">
        <v>1081</v>
      </c>
      <c r="D1934" s="46" t="n">
        <v>45658</v>
      </c>
      <c r="E1934" s="47" t="s">
        <v>62</v>
      </c>
      <c r="F1934" s="48" t="n">
        <v>109518.4</v>
      </c>
      <c r="G1934" s="47" t="s">
        <v>66</v>
      </c>
      <c r="H1934" s="47" t="s">
        <v>47</v>
      </c>
      <c r="I1934" s="47" t="s">
        <v>245</v>
      </c>
      <c r="J1934" s="47" t="s">
        <v>28</v>
      </c>
      <c r="K1934" s="47" t="s">
        <v>33</v>
      </c>
    </row>
    <row r="1935" customFormat="false" ht="15" hidden="false" customHeight="false" outlineLevel="0" collapsed="false">
      <c r="A1935" s="0" t="s">
        <v>2987</v>
      </c>
      <c r="B1935" s="0" t="s">
        <v>176</v>
      </c>
      <c r="D1935" s="46" t="n">
        <v>46274</v>
      </c>
      <c r="E1935" s="47" t="s">
        <v>61</v>
      </c>
      <c r="F1935" s="48" t="n">
        <v>75889.45</v>
      </c>
      <c r="G1935" s="47" t="s">
        <v>53</v>
      </c>
      <c r="H1935" s="47" t="s">
        <v>39</v>
      </c>
      <c r="I1935" s="47" t="s">
        <v>177</v>
      </c>
      <c r="J1935" s="47" t="s">
        <v>28</v>
      </c>
      <c r="K1935" s="47" t="s">
        <v>33</v>
      </c>
    </row>
    <row r="1936" customFormat="false" ht="15" hidden="false" customHeight="false" outlineLevel="0" collapsed="false">
      <c r="A1936" s="0" t="s">
        <v>2988</v>
      </c>
      <c r="B1936" s="0" t="s">
        <v>1122</v>
      </c>
      <c r="D1936" s="46" t="n">
        <v>46115</v>
      </c>
      <c r="E1936" s="47" t="s">
        <v>59</v>
      </c>
      <c r="F1936" s="48" t="n">
        <v>22296.13</v>
      </c>
      <c r="G1936" s="47" t="s">
        <v>68</v>
      </c>
      <c r="H1936" s="47" t="s">
        <v>48</v>
      </c>
      <c r="I1936" s="47" t="s">
        <v>212</v>
      </c>
      <c r="J1936" s="47" t="s">
        <v>28</v>
      </c>
      <c r="K1936" s="47" t="s">
        <v>34</v>
      </c>
    </row>
    <row r="1937" customFormat="false" ht="15" hidden="false" customHeight="false" outlineLevel="0" collapsed="false">
      <c r="A1937" s="0" t="s">
        <v>2989</v>
      </c>
      <c r="B1937" s="0" t="s">
        <v>767</v>
      </c>
      <c r="D1937" s="46" t="n">
        <v>46015</v>
      </c>
      <c r="E1937" s="47" t="s">
        <v>60</v>
      </c>
      <c r="F1937" s="48" t="n">
        <v>25260.83</v>
      </c>
      <c r="G1937" s="47" t="s">
        <v>68</v>
      </c>
      <c r="H1937" s="47" t="s">
        <v>46</v>
      </c>
      <c r="I1937" s="47" t="s">
        <v>148</v>
      </c>
      <c r="J1937" s="47" t="s">
        <v>28</v>
      </c>
      <c r="K1937" s="47" t="s">
        <v>33</v>
      </c>
    </row>
    <row r="1938" customFormat="false" ht="15" hidden="false" customHeight="false" outlineLevel="0" collapsed="false">
      <c r="A1938" s="0" t="s">
        <v>2990</v>
      </c>
      <c r="B1938" s="0" t="s">
        <v>346</v>
      </c>
      <c r="D1938" s="46" t="n">
        <v>45666</v>
      </c>
      <c r="E1938" s="47" t="s">
        <v>59</v>
      </c>
      <c r="F1938" s="48" t="n">
        <v>155719.8</v>
      </c>
      <c r="G1938" s="47" t="s">
        <v>57</v>
      </c>
      <c r="H1938" s="47" t="s">
        <v>41</v>
      </c>
      <c r="I1938" s="47" t="s">
        <v>86</v>
      </c>
      <c r="J1938" s="47" t="s">
        <v>28</v>
      </c>
      <c r="K1938" s="47" t="s">
        <v>34</v>
      </c>
    </row>
    <row r="1939" customFormat="false" ht="15" hidden="false" customHeight="false" outlineLevel="0" collapsed="false">
      <c r="A1939" s="0" t="s">
        <v>2991</v>
      </c>
      <c r="B1939" s="0" t="s">
        <v>2992</v>
      </c>
      <c r="D1939" s="46" t="n">
        <v>45897</v>
      </c>
      <c r="E1939" s="47" t="s">
        <v>53</v>
      </c>
      <c r="F1939" s="48" t="n">
        <v>8452.84</v>
      </c>
      <c r="G1939" s="47" t="s">
        <v>53</v>
      </c>
      <c r="H1939" s="47" t="s">
        <v>39</v>
      </c>
      <c r="I1939" s="47" t="s">
        <v>98</v>
      </c>
      <c r="J1939" s="47" t="s">
        <v>29</v>
      </c>
      <c r="K1939" s="47" t="s">
        <v>34</v>
      </c>
    </row>
    <row r="1940" customFormat="false" ht="15" hidden="false" customHeight="false" outlineLevel="0" collapsed="false">
      <c r="A1940" s="0" t="s">
        <v>2993</v>
      </c>
      <c r="B1940" s="0" t="s">
        <v>621</v>
      </c>
      <c r="D1940" s="46" t="n">
        <v>46103</v>
      </c>
      <c r="E1940" s="47" t="s">
        <v>58</v>
      </c>
      <c r="F1940" s="48" t="n">
        <v>1349.64</v>
      </c>
      <c r="G1940" s="47" t="s">
        <v>65</v>
      </c>
      <c r="H1940" s="47" t="s">
        <v>44</v>
      </c>
      <c r="I1940" s="47" t="s">
        <v>226</v>
      </c>
      <c r="J1940" s="47" t="s">
        <v>28</v>
      </c>
      <c r="K1940" s="47" t="s">
        <v>34</v>
      </c>
    </row>
    <row r="1941" customFormat="false" ht="15" hidden="false" customHeight="false" outlineLevel="0" collapsed="false">
      <c r="A1941" s="0" t="s">
        <v>2994</v>
      </c>
      <c r="B1941" s="0" t="s">
        <v>1308</v>
      </c>
      <c r="C1941" s="0" t="s">
        <v>1309</v>
      </c>
      <c r="D1941" s="46" t="n">
        <v>46134</v>
      </c>
      <c r="E1941" s="47" t="s">
        <v>55</v>
      </c>
      <c r="F1941" s="48" t="n">
        <v>127355.84</v>
      </c>
      <c r="G1941" s="47" t="s">
        <v>57</v>
      </c>
      <c r="H1941" s="47" t="s">
        <v>48</v>
      </c>
      <c r="I1941" s="47" t="s">
        <v>111</v>
      </c>
      <c r="J1941" s="47" t="s">
        <v>28</v>
      </c>
      <c r="K1941" s="47" t="s">
        <v>34</v>
      </c>
    </row>
    <row r="1942" customFormat="false" ht="15" hidden="false" customHeight="false" outlineLevel="0" collapsed="false">
      <c r="A1942" s="0" t="s">
        <v>2995</v>
      </c>
      <c r="B1942" s="0" t="s">
        <v>2996</v>
      </c>
      <c r="D1942" s="46" t="n">
        <v>45896</v>
      </c>
      <c r="E1942" s="47" t="s">
        <v>60</v>
      </c>
      <c r="F1942" s="48" t="n">
        <v>76456.91</v>
      </c>
      <c r="G1942" s="47" t="s">
        <v>68</v>
      </c>
      <c r="H1942" s="47" t="s">
        <v>40</v>
      </c>
      <c r="I1942" s="47" t="s">
        <v>89</v>
      </c>
      <c r="J1942" s="47" t="s">
        <v>28</v>
      </c>
      <c r="K1942" s="47" t="s">
        <v>33</v>
      </c>
    </row>
    <row r="1943" customFormat="false" ht="15" hidden="false" customHeight="false" outlineLevel="0" collapsed="false">
      <c r="A1943" s="0" t="s">
        <v>2997</v>
      </c>
      <c r="B1943" s="0" t="s">
        <v>804</v>
      </c>
      <c r="D1943" s="46" t="n">
        <v>45669</v>
      </c>
      <c r="E1943" s="47" t="s">
        <v>53</v>
      </c>
      <c r="F1943" s="48" t="n">
        <v>185769.89</v>
      </c>
      <c r="G1943" s="47" t="s">
        <v>53</v>
      </c>
      <c r="H1943" s="47" t="s">
        <v>40</v>
      </c>
      <c r="I1943" s="47" t="s">
        <v>83</v>
      </c>
      <c r="J1943" s="47" t="s">
        <v>30</v>
      </c>
      <c r="K1943" s="47" t="s">
        <v>33</v>
      </c>
    </row>
    <row r="1944" customFormat="false" ht="15" hidden="false" customHeight="false" outlineLevel="0" collapsed="false">
      <c r="A1944" s="0" t="s">
        <v>2998</v>
      </c>
      <c r="B1944" s="0" t="s">
        <v>799</v>
      </c>
      <c r="C1944" s="0" t="s">
        <v>2999</v>
      </c>
      <c r="D1944" s="46" t="n">
        <v>46081</v>
      </c>
      <c r="E1944" s="47" t="s">
        <v>62</v>
      </c>
      <c r="F1944" s="48" t="n">
        <v>151173.21</v>
      </c>
      <c r="G1944" s="47" t="s">
        <v>66</v>
      </c>
      <c r="H1944" s="47" t="s">
        <v>41</v>
      </c>
      <c r="I1944" s="47" t="s">
        <v>86</v>
      </c>
      <c r="J1944" s="47" t="s">
        <v>28</v>
      </c>
      <c r="K1944" s="47" t="s">
        <v>33</v>
      </c>
    </row>
    <row r="1945" customFormat="false" ht="15" hidden="false" customHeight="false" outlineLevel="0" collapsed="false">
      <c r="A1945" s="0" t="s">
        <v>3000</v>
      </c>
      <c r="B1945" s="0" t="s">
        <v>1415</v>
      </c>
      <c r="D1945" s="46" t="n">
        <v>45794</v>
      </c>
      <c r="E1945" s="47" t="s">
        <v>62</v>
      </c>
      <c r="F1945" s="48" t="n">
        <v>83519.42</v>
      </c>
      <c r="G1945" s="47" t="s">
        <v>68</v>
      </c>
      <c r="H1945" s="47" t="s">
        <v>45</v>
      </c>
      <c r="I1945" s="47" t="s">
        <v>151</v>
      </c>
      <c r="J1945" s="47" t="s">
        <v>28</v>
      </c>
      <c r="K1945" s="47" t="s">
        <v>33</v>
      </c>
    </row>
    <row r="1946" customFormat="false" ht="15" hidden="false" customHeight="false" outlineLevel="0" collapsed="false">
      <c r="A1946" s="0" t="s">
        <v>3001</v>
      </c>
      <c r="B1946" s="0" t="s">
        <v>593</v>
      </c>
      <c r="D1946" s="46" t="n">
        <v>46280</v>
      </c>
      <c r="E1946" s="47" t="s">
        <v>55</v>
      </c>
      <c r="F1946" s="48" t="n">
        <v>158364.12</v>
      </c>
      <c r="G1946" s="47" t="s">
        <v>53</v>
      </c>
      <c r="H1946" s="47" t="s">
        <v>43</v>
      </c>
      <c r="I1946" s="47" t="s">
        <v>102</v>
      </c>
      <c r="J1946" s="47" t="s">
        <v>28</v>
      </c>
      <c r="K1946" s="47" t="s">
        <v>34</v>
      </c>
    </row>
    <row r="1947" customFormat="false" ht="15" hidden="false" customHeight="false" outlineLevel="0" collapsed="false">
      <c r="A1947" s="0" t="s">
        <v>3002</v>
      </c>
      <c r="B1947" s="0" t="s">
        <v>1892</v>
      </c>
      <c r="D1947" s="46" t="n">
        <v>46029</v>
      </c>
      <c r="E1947" s="47" t="s">
        <v>53</v>
      </c>
      <c r="F1947" s="48" t="n">
        <v>10198.74</v>
      </c>
      <c r="G1947" s="47" t="s">
        <v>53</v>
      </c>
      <c r="H1947" s="47" t="s">
        <v>44</v>
      </c>
      <c r="I1947" s="47" t="s">
        <v>226</v>
      </c>
      <c r="J1947" s="47" t="s">
        <v>29</v>
      </c>
      <c r="K1947" s="47" t="s">
        <v>33</v>
      </c>
    </row>
    <row r="1948" customFormat="false" ht="15" hidden="false" customHeight="false" outlineLevel="0" collapsed="false">
      <c r="A1948" s="0" t="s">
        <v>3003</v>
      </c>
      <c r="B1948" s="0" t="s">
        <v>1670</v>
      </c>
      <c r="D1948" s="46" t="n">
        <v>45722</v>
      </c>
      <c r="E1948" s="47" t="s">
        <v>62</v>
      </c>
      <c r="F1948" s="48" t="n">
        <v>1379.79</v>
      </c>
      <c r="G1948" s="47" t="s">
        <v>66</v>
      </c>
      <c r="H1948" s="47" t="s">
        <v>42</v>
      </c>
      <c r="I1948" s="47" t="s">
        <v>137</v>
      </c>
      <c r="J1948" s="47" t="s">
        <v>28</v>
      </c>
      <c r="K1948" s="47" t="s">
        <v>33</v>
      </c>
    </row>
    <row r="1949" customFormat="false" ht="15" hidden="false" customHeight="false" outlineLevel="0" collapsed="false">
      <c r="A1949" s="0" t="s">
        <v>3004</v>
      </c>
      <c r="B1949" s="0" t="s">
        <v>1211</v>
      </c>
      <c r="D1949" s="46" t="n">
        <v>45933</v>
      </c>
      <c r="E1949" s="47" t="s">
        <v>55</v>
      </c>
      <c r="F1949" s="48" t="n">
        <v>138264.84</v>
      </c>
      <c r="G1949" s="47" t="s">
        <v>68</v>
      </c>
      <c r="H1949" s="47" t="s">
        <v>40</v>
      </c>
      <c r="I1949" s="47" t="s">
        <v>89</v>
      </c>
      <c r="J1949" s="47" t="s">
        <v>28</v>
      </c>
      <c r="K1949" s="47" t="s">
        <v>33</v>
      </c>
    </row>
    <row r="1950" customFormat="false" ht="15" hidden="false" customHeight="false" outlineLevel="0" collapsed="false">
      <c r="A1950" s="0" t="s">
        <v>3005</v>
      </c>
      <c r="B1950" s="0" t="s">
        <v>2775</v>
      </c>
      <c r="D1950" s="46" t="n">
        <v>45852</v>
      </c>
      <c r="E1950" s="47" t="s">
        <v>61</v>
      </c>
      <c r="F1950" s="48" t="n">
        <v>177036.35</v>
      </c>
      <c r="G1950" s="47" t="s">
        <v>53</v>
      </c>
      <c r="H1950" s="47" t="s">
        <v>41</v>
      </c>
      <c r="I1950" s="47" t="s">
        <v>272</v>
      </c>
      <c r="J1950" s="47" t="s">
        <v>28</v>
      </c>
      <c r="K1950" s="47" t="s">
        <v>33</v>
      </c>
    </row>
    <row r="1951" customFormat="false" ht="15" hidden="false" customHeight="false" outlineLevel="0" collapsed="false">
      <c r="A1951" s="0" t="s">
        <v>3006</v>
      </c>
      <c r="B1951" s="0" t="s">
        <v>735</v>
      </c>
      <c r="D1951" s="46" t="n">
        <v>46010</v>
      </c>
      <c r="E1951" s="47" t="s">
        <v>59</v>
      </c>
      <c r="F1951" s="48" t="n">
        <v>131044.45</v>
      </c>
      <c r="G1951" s="47" t="s">
        <v>68</v>
      </c>
      <c r="H1951" s="47" t="s">
        <v>41</v>
      </c>
      <c r="I1951" s="47" t="s">
        <v>293</v>
      </c>
      <c r="J1951" s="47" t="s">
        <v>28</v>
      </c>
      <c r="K1951" s="47" t="s">
        <v>33</v>
      </c>
    </row>
    <row r="1952" customFormat="false" ht="15" hidden="false" customHeight="false" outlineLevel="0" collapsed="false">
      <c r="A1952" s="0" t="s">
        <v>3007</v>
      </c>
      <c r="B1952" s="0" t="s">
        <v>2379</v>
      </c>
      <c r="D1952" s="46" t="n">
        <v>46102</v>
      </c>
      <c r="E1952" s="47" t="s">
        <v>60</v>
      </c>
      <c r="F1952" s="48" t="n">
        <v>93863</v>
      </c>
      <c r="G1952" s="47" t="s">
        <v>68</v>
      </c>
      <c r="H1952" s="47" t="s">
        <v>41</v>
      </c>
      <c r="I1952" s="47" t="s">
        <v>86</v>
      </c>
      <c r="J1952" s="47" t="s">
        <v>28</v>
      </c>
      <c r="K1952" s="47" t="s">
        <v>33</v>
      </c>
    </row>
    <row r="1953" customFormat="false" ht="15" hidden="false" customHeight="false" outlineLevel="0" collapsed="false">
      <c r="A1953" s="0" t="s">
        <v>3008</v>
      </c>
      <c r="B1953" s="0" t="s">
        <v>2302</v>
      </c>
      <c r="D1953" s="46" t="n">
        <v>45740</v>
      </c>
      <c r="E1953" s="47" t="s">
        <v>59</v>
      </c>
      <c r="F1953" s="48" t="n">
        <v>45215.08</v>
      </c>
      <c r="G1953" s="47" t="s">
        <v>57</v>
      </c>
      <c r="H1953" s="47" t="s">
        <v>40</v>
      </c>
      <c r="I1953" s="47" t="s">
        <v>89</v>
      </c>
      <c r="J1953" s="47" t="s">
        <v>28</v>
      </c>
      <c r="K1953" s="47" t="s">
        <v>33</v>
      </c>
    </row>
    <row r="1954" customFormat="false" ht="15" hidden="false" customHeight="false" outlineLevel="0" collapsed="false">
      <c r="A1954" s="0" t="s">
        <v>3009</v>
      </c>
      <c r="B1954" s="0" t="s">
        <v>1045</v>
      </c>
      <c r="C1954" s="0" t="s">
        <v>1046</v>
      </c>
      <c r="D1954" s="46" t="n">
        <v>46017</v>
      </c>
      <c r="E1954" s="47" t="s">
        <v>62</v>
      </c>
      <c r="F1954" s="48" t="n">
        <v>81894.51</v>
      </c>
      <c r="G1954" s="47" t="s">
        <v>68</v>
      </c>
      <c r="H1954" s="47" t="s">
        <v>41</v>
      </c>
      <c r="I1954" s="47" t="s">
        <v>293</v>
      </c>
      <c r="J1954" s="47" t="s">
        <v>28</v>
      </c>
      <c r="K1954" s="47" t="s">
        <v>34</v>
      </c>
    </row>
    <row r="1955" customFormat="false" ht="15" hidden="false" customHeight="false" outlineLevel="0" collapsed="false">
      <c r="A1955" s="0" t="s">
        <v>3010</v>
      </c>
      <c r="B1955" s="0" t="s">
        <v>1102</v>
      </c>
      <c r="D1955" s="46" t="n">
        <v>45737</v>
      </c>
      <c r="E1955" s="47" t="s">
        <v>58</v>
      </c>
      <c r="F1955" s="48" t="n">
        <v>186065.9</v>
      </c>
      <c r="G1955" s="47" t="s">
        <v>65</v>
      </c>
      <c r="H1955" s="47" t="s">
        <v>42</v>
      </c>
      <c r="I1955" s="47" t="s">
        <v>105</v>
      </c>
      <c r="J1955" s="47" t="s">
        <v>29</v>
      </c>
      <c r="K1955" s="47" t="s">
        <v>33</v>
      </c>
    </row>
    <row r="1956" customFormat="false" ht="15" hidden="false" customHeight="false" outlineLevel="0" collapsed="false">
      <c r="A1956" s="0" t="s">
        <v>3011</v>
      </c>
      <c r="B1956" s="0" t="s">
        <v>2037</v>
      </c>
      <c r="D1956" s="46" t="n">
        <v>46229</v>
      </c>
      <c r="E1956" s="47" t="s">
        <v>59</v>
      </c>
      <c r="F1956" s="48" t="n">
        <v>114010.1</v>
      </c>
      <c r="G1956" s="47" t="s">
        <v>57</v>
      </c>
      <c r="H1956" s="47" t="s">
        <v>43</v>
      </c>
      <c r="I1956" s="47" t="s">
        <v>117</v>
      </c>
      <c r="J1956" s="47" t="s">
        <v>28</v>
      </c>
      <c r="K1956" s="47" t="s">
        <v>33</v>
      </c>
    </row>
    <row r="1957" customFormat="false" ht="15" hidden="false" customHeight="false" outlineLevel="0" collapsed="false">
      <c r="A1957" s="0" t="s">
        <v>3012</v>
      </c>
      <c r="B1957" s="0" t="s">
        <v>3013</v>
      </c>
      <c r="D1957" s="46" t="n">
        <v>46032</v>
      </c>
      <c r="E1957" s="47" t="s">
        <v>61</v>
      </c>
      <c r="F1957" s="48" t="n">
        <v>65865.22</v>
      </c>
      <c r="G1957" s="47" t="s">
        <v>65</v>
      </c>
      <c r="H1957" s="47" t="s">
        <v>47</v>
      </c>
      <c r="I1957" s="47" t="s">
        <v>108</v>
      </c>
      <c r="J1957" s="47" t="s">
        <v>28</v>
      </c>
      <c r="K1957" s="47" t="s">
        <v>34</v>
      </c>
    </row>
    <row r="1958" customFormat="false" ht="15" hidden="false" customHeight="false" outlineLevel="0" collapsed="false">
      <c r="A1958" s="0" t="s">
        <v>3014</v>
      </c>
      <c r="B1958" s="0" t="s">
        <v>606</v>
      </c>
      <c r="D1958" s="46" t="n">
        <v>45762</v>
      </c>
      <c r="E1958" s="47" t="s">
        <v>58</v>
      </c>
      <c r="F1958" s="48" t="n">
        <v>164203.5</v>
      </c>
      <c r="G1958" s="47" t="s">
        <v>53</v>
      </c>
      <c r="H1958" s="47" t="s">
        <v>45</v>
      </c>
      <c r="I1958" s="47" t="s">
        <v>95</v>
      </c>
      <c r="J1958" s="47" t="s">
        <v>28</v>
      </c>
      <c r="K1958" s="47" t="s">
        <v>34</v>
      </c>
    </row>
    <row r="1959" customFormat="false" ht="15" hidden="false" customHeight="false" outlineLevel="0" collapsed="false">
      <c r="A1959" s="0" t="s">
        <v>3015</v>
      </c>
      <c r="B1959" s="0" t="s">
        <v>193</v>
      </c>
      <c r="C1959" s="0" t="s">
        <v>3016</v>
      </c>
      <c r="D1959" s="46" t="n">
        <v>45715</v>
      </c>
      <c r="E1959" s="47" t="s">
        <v>62</v>
      </c>
      <c r="F1959" s="48" t="n">
        <v>151700.17</v>
      </c>
      <c r="G1959" s="47" t="s">
        <v>57</v>
      </c>
      <c r="H1959" s="47" t="s">
        <v>41</v>
      </c>
      <c r="I1959" s="47" t="s">
        <v>86</v>
      </c>
      <c r="J1959" s="47" t="s">
        <v>28</v>
      </c>
      <c r="K1959" s="47" t="s">
        <v>33</v>
      </c>
    </row>
    <row r="1960" customFormat="false" ht="15" hidden="false" customHeight="false" outlineLevel="0" collapsed="false">
      <c r="A1960" s="0" t="s">
        <v>3017</v>
      </c>
      <c r="B1960" s="0" t="s">
        <v>2221</v>
      </c>
      <c r="D1960" s="46" t="n">
        <v>45760</v>
      </c>
      <c r="E1960" s="47" t="s">
        <v>62</v>
      </c>
      <c r="F1960" s="48" t="n">
        <v>110418.92</v>
      </c>
      <c r="G1960" s="47" t="s">
        <v>53</v>
      </c>
      <c r="H1960" s="47" t="s">
        <v>39</v>
      </c>
      <c r="I1960" s="47" t="s">
        <v>177</v>
      </c>
      <c r="J1960" s="47" t="s">
        <v>28</v>
      </c>
      <c r="K1960" s="47" t="s">
        <v>34</v>
      </c>
    </row>
    <row r="1961" customFormat="false" ht="15" hidden="false" customHeight="false" outlineLevel="0" collapsed="false">
      <c r="A1961" s="0" t="s">
        <v>3018</v>
      </c>
      <c r="B1961" s="0" t="s">
        <v>1143</v>
      </c>
      <c r="D1961" s="46" t="n">
        <v>45837</v>
      </c>
      <c r="E1961" s="47" t="s">
        <v>55</v>
      </c>
      <c r="F1961" s="48" t="n">
        <v>15094.03</v>
      </c>
      <c r="G1961" s="47" t="s">
        <v>66</v>
      </c>
      <c r="H1961" s="47" t="s">
        <v>47</v>
      </c>
      <c r="I1961" s="47" t="s">
        <v>245</v>
      </c>
      <c r="J1961" s="47" t="s">
        <v>28</v>
      </c>
      <c r="K1961" s="47" t="s">
        <v>34</v>
      </c>
    </row>
    <row r="1962" customFormat="false" ht="15" hidden="false" customHeight="false" outlineLevel="0" collapsed="false">
      <c r="A1962" s="0" t="s">
        <v>3019</v>
      </c>
      <c r="B1962" s="0" t="s">
        <v>3020</v>
      </c>
      <c r="D1962" s="46" t="n">
        <v>46157</v>
      </c>
      <c r="E1962" s="47" t="s">
        <v>60</v>
      </c>
      <c r="F1962" s="48" t="n">
        <v>193947.9</v>
      </c>
      <c r="G1962" s="47" t="s">
        <v>57</v>
      </c>
      <c r="H1962" s="47" t="s">
        <v>46</v>
      </c>
      <c r="I1962" s="47" t="s">
        <v>148</v>
      </c>
      <c r="J1962" s="47" t="s">
        <v>28</v>
      </c>
      <c r="K1962" s="47" t="s">
        <v>33</v>
      </c>
    </row>
    <row r="1963" customFormat="false" ht="15" hidden="false" customHeight="false" outlineLevel="0" collapsed="false">
      <c r="A1963" s="0" t="s">
        <v>3021</v>
      </c>
      <c r="B1963" s="0" t="s">
        <v>1129</v>
      </c>
      <c r="D1963" s="46" t="n">
        <v>45908</v>
      </c>
      <c r="E1963" s="47" t="s">
        <v>53</v>
      </c>
      <c r="F1963" s="48" t="n">
        <v>40030.53</v>
      </c>
      <c r="G1963" s="47" t="s">
        <v>53</v>
      </c>
      <c r="H1963" s="47" t="s">
        <v>45</v>
      </c>
      <c r="I1963" s="47" t="s">
        <v>217</v>
      </c>
      <c r="J1963" s="47" t="s">
        <v>28</v>
      </c>
      <c r="K1963" s="47" t="s">
        <v>34</v>
      </c>
    </row>
    <row r="1964" customFormat="false" ht="15" hidden="false" customHeight="false" outlineLevel="0" collapsed="false">
      <c r="A1964" s="0" t="s">
        <v>3022</v>
      </c>
      <c r="B1964" s="0" t="s">
        <v>851</v>
      </c>
      <c r="D1964" s="46" t="n">
        <v>46287</v>
      </c>
      <c r="E1964" s="47" t="s">
        <v>62</v>
      </c>
      <c r="F1964" s="48" t="n">
        <v>33664.64</v>
      </c>
      <c r="G1964" s="47" t="s">
        <v>65</v>
      </c>
      <c r="H1964" s="47" t="s">
        <v>46</v>
      </c>
      <c r="I1964" s="47" t="s">
        <v>148</v>
      </c>
      <c r="J1964" s="47" t="s">
        <v>28</v>
      </c>
      <c r="K1964" s="47" t="s">
        <v>33</v>
      </c>
    </row>
    <row r="1965" customFormat="false" ht="15" hidden="false" customHeight="false" outlineLevel="0" collapsed="false">
      <c r="A1965" s="0" t="s">
        <v>3023</v>
      </c>
      <c r="B1965" s="0" t="s">
        <v>662</v>
      </c>
      <c r="D1965" s="46" t="n">
        <v>46274</v>
      </c>
      <c r="E1965" s="47" t="s">
        <v>60</v>
      </c>
      <c r="F1965" s="48" t="n">
        <v>42201.84</v>
      </c>
      <c r="G1965" s="47" t="s">
        <v>68</v>
      </c>
      <c r="H1965" s="47" t="s">
        <v>45</v>
      </c>
      <c r="I1965" s="47" t="s">
        <v>151</v>
      </c>
      <c r="J1965" s="47" t="s">
        <v>28</v>
      </c>
      <c r="K1965" s="47" t="s">
        <v>33</v>
      </c>
    </row>
    <row r="1966" customFormat="false" ht="15" hidden="false" customHeight="false" outlineLevel="0" collapsed="false">
      <c r="A1966" s="0" t="s">
        <v>3024</v>
      </c>
      <c r="B1966" s="0" t="s">
        <v>1165</v>
      </c>
      <c r="D1966" s="46" t="n">
        <v>46163</v>
      </c>
      <c r="E1966" s="47" t="s">
        <v>55</v>
      </c>
      <c r="F1966" s="48" t="n">
        <v>1393.52</v>
      </c>
      <c r="G1966" s="47" t="s">
        <v>53</v>
      </c>
      <c r="H1966" s="47" t="s">
        <v>41</v>
      </c>
      <c r="I1966" s="47" t="s">
        <v>272</v>
      </c>
      <c r="J1966" s="47" t="s">
        <v>28</v>
      </c>
      <c r="K1966" s="47" t="s">
        <v>33</v>
      </c>
    </row>
    <row r="1967" customFormat="false" ht="15" hidden="false" customHeight="false" outlineLevel="0" collapsed="false">
      <c r="A1967" s="0" t="s">
        <v>3025</v>
      </c>
      <c r="B1967" s="0" t="s">
        <v>828</v>
      </c>
      <c r="D1967" s="46" t="n">
        <v>45768</v>
      </c>
      <c r="E1967" s="47" t="s">
        <v>61</v>
      </c>
      <c r="F1967" s="48" t="n">
        <v>55750.73</v>
      </c>
      <c r="G1967" s="47" t="s">
        <v>57</v>
      </c>
      <c r="H1967" s="47" t="s">
        <v>45</v>
      </c>
      <c r="I1967" s="47" t="s">
        <v>217</v>
      </c>
      <c r="J1967" s="47" t="s">
        <v>28</v>
      </c>
      <c r="K1967" s="47" t="s">
        <v>33</v>
      </c>
    </row>
    <row r="1968" customFormat="false" ht="15" hidden="false" customHeight="false" outlineLevel="0" collapsed="false">
      <c r="A1968" s="0" t="s">
        <v>3026</v>
      </c>
      <c r="B1968" s="0" t="s">
        <v>263</v>
      </c>
      <c r="D1968" s="46" t="n">
        <v>46074</v>
      </c>
      <c r="E1968" s="47" t="s">
        <v>58</v>
      </c>
      <c r="F1968" s="48" t="n">
        <v>124941.64</v>
      </c>
      <c r="G1968" s="47" t="s">
        <v>68</v>
      </c>
      <c r="H1968" s="47" t="s">
        <v>46</v>
      </c>
      <c r="I1968" s="47" t="s">
        <v>121</v>
      </c>
      <c r="J1968" s="47" t="s">
        <v>28</v>
      </c>
      <c r="K1968" s="47" t="s">
        <v>33</v>
      </c>
    </row>
    <row r="1969" customFormat="false" ht="15" hidden="false" customHeight="false" outlineLevel="0" collapsed="false">
      <c r="A1969" s="0" t="s">
        <v>3027</v>
      </c>
      <c r="B1969" s="0" t="s">
        <v>981</v>
      </c>
      <c r="D1969" s="46" t="n">
        <v>46257</v>
      </c>
      <c r="E1969" s="47" t="s">
        <v>59</v>
      </c>
      <c r="F1969" s="48" t="n">
        <v>120204.07</v>
      </c>
      <c r="G1969" s="47" t="s">
        <v>68</v>
      </c>
      <c r="H1969" s="47" t="s">
        <v>45</v>
      </c>
      <c r="I1969" s="47" t="s">
        <v>217</v>
      </c>
      <c r="J1969" s="47" t="s">
        <v>28</v>
      </c>
      <c r="K1969" s="47" t="s">
        <v>33</v>
      </c>
    </row>
    <row r="1970" customFormat="false" ht="15" hidden="false" customHeight="false" outlineLevel="0" collapsed="false">
      <c r="A1970" s="0" t="s">
        <v>3028</v>
      </c>
      <c r="B1970" s="0" t="s">
        <v>513</v>
      </c>
      <c r="D1970" s="46" t="n">
        <v>46195</v>
      </c>
      <c r="E1970" s="47" t="s">
        <v>62</v>
      </c>
      <c r="F1970" s="48" t="n">
        <v>124001.36</v>
      </c>
      <c r="G1970" s="47" t="s">
        <v>57</v>
      </c>
      <c r="H1970" s="47" t="s">
        <v>44</v>
      </c>
      <c r="I1970" s="47" t="s">
        <v>80</v>
      </c>
      <c r="J1970" s="47" t="s">
        <v>28</v>
      </c>
      <c r="K1970" s="47" t="s">
        <v>34</v>
      </c>
    </row>
    <row r="1971" customFormat="false" ht="15" hidden="false" customHeight="false" outlineLevel="0" collapsed="false">
      <c r="A1971" s="0" t="s">
        <v>3029</v>
      </c>
      <c r="B1971" s="0" t="s">
        <v>3030</v>
      </c>
      <c r="D1971" s="46" t="n">
        <v>45842</v>
      </c>
      <c r="E1971" s="47" t="s">
        <v>62</v>
      </c>
      <c r="F1971" s="48" t="n">
        <v>115141.51</v>
      </c>
      <c r="G1971" s="47" t="s">
        <v>65</v>
      </c>
      <c r="H1971" s="47" t="s">
        <v>43</v>
      </c>
      <c r="I1971" s="47" t="s">
        <v>102</v>
      </c>
      <c r="J1971" s="47" t="s">
        <v>28</v>
      </c>
      <c r="K1971" s="47" t="s">
        <v>33</v>
      </c>
    </row>
    <row r="1972" customFormat="false" ht="15" hidden="false" customHeight="false" outlineLevel="0" collapsed="false">
      <c r="A1972" s="0" t="s">
        <v>3031</v>
      </c>
      <c r="B1972" s="0" t="s">
        <v>1291</v>
      </c>
      <c r="D1972" s="46" t="n">
        <v>45910</v>
      </c>
      <c r="E1972" s="47" t="s">
        <v>60</v>
      </c>
      <c r="F1972" s="48" t="n">
        <v>35601.18</v>
      </c>
      <c r="G1972" s="47" t="s">
        <v>57</v>
      </c>
      <c r="H1972" s="47" t="s">
        <v>44</v>
      </c>
      <c r="I1972" s="47" t="s">
        <v>132</v>
      </c>
      <c r="J1972" s="47" t="s">
        <v>28</v>
      </c>
      <c r="K1972" s="47" t="s">
        <v>33</v>
      </c>
    </row>
    <row r="1973" customFormat="false" ht="15" hidden="false" customHeight="false" outlineLevel="0" collapsed="false">
      <c r="A1973" s="0" t="s">
        <v>3032</v>
      </c>
      <c r="B1973" s="0" t="s">
        <v>674</v>
      </c>
      <c r="D1973" s="46" t="n">
        <v>46212</v>
      </c>
      <c r="E1973" s="47" t="s">
        <v>62</v>
      </c>
      <c r="F1973" s="48" t="n">
        <v>124505.65</v>
      </c>
      <c r="G1973" s="47" t="s">
        <v>68</v>
      </c>
      <c r="H1973" s="47" t="s">
        <v>42</v>
      </c>
      <c r="I1973" s="47" t="s">
        <v>105</v>
      </c>
      <c r="J1973" s="47" t="s">
        <v>28</v>
      </c>
      <c r="K1973" s="47" t="s">
        <v>33</v>
      </c>
    </row>
    <row r="1974" customFormat="false" ht="15" hidden="false" customHeight="false" outlineLevel="0" collapsed="false">
      <c r="A1974" s="0" t="s">
        <v>3033</v>
      </c>
      <c r="B1974" s="0" t="s">
        <v>2507</v>
      </c>
      <c r="D1974" s="46" t="n">
        <v>46019</v>
      </c>
      <c r="E1974" s="47" t="s">
        <v>61</v>
      </c>
      <c r="F1974" s="48" t="n">
        <v>696.56</v>
      </c>
      <c r="G1974" s="47" t="s">
        <v>57</v>
      </c>
      <c r="H1974" s="47" t="s">
        <v>39</v>
      </c>
      <c r="I1974" s="47" t="s">
        <v>145</v>
      </c>
      <c r="J1974" s="47" t="s">
        <v>30</v>
      </c>
      <c r="K1974" s="47" t="s">
        <v>33</v>
      </c>
    </row>
    <row r="1975" customFormat="false" ht="15" hidden="false" customHeight="false" outlineLevel="0" collapsed="false">
      <c r="A1975" s="0" t="s">
        <v>3034</v>
      </c>
      <c r="B1975" s="0" t="s">
        <v>241</v>
      </c>
      <c r="D1975" s="46" t="n">
        <v>46183</v>
      </c>
      <c r="E1975" s="47" t="s">
        <v>59</v>
      </c>
      <c r="F1975" s="48" t="n">
        <v>118945.81</v>
      </c>
      <c r="G1975" s="47" t="s">
        <v>53</v>
      </c>
      <c r="H1975" s="47" t="s">
        <v>46</v>
      </c>
      <c r="I1975" s="47" t="s">
        <v>242</v>
      </c>
      <c r="J1975" s="47" t="s">
        <v>28</v>
      </c>
      <c r="K1975" s="47" t="s">
        <v>33</v>
      </c>
    </row>
    <row r="1976" customFormat="false" ht="15" hidden="false" customHeight="false" outlineLevel="0" collapsed="false">
      <c r="A1976" s="0" t="s">
        <v>3035</v>
      </c>
      <c r="B1976" s="0" t="s">
        <v>1861</v>
      </c>
      <c r="D1976" s="46" t="n">
        <v>45836</v>
      </c>
      <c r="E1976" s="47" t="s">
        <v>58</v>
      </c>
      <c r="F1976" s="48" t="n">
        <v>120116.96</v>
      </c>
      <c r="G1976" s="47" t="s">
        <v>66</v>
      </c>
      <c r="H1976" s="47" t="s">
        <v>42</v>
      </c>
      <c r="I1976" s="47" t="s">
        <v>105</v>
      </c>
      <c r="J1976" s="47" t="s">
        <v>28</v>
      </c>
      <c r="K1976" s="47" t="s">
        <v>34</v>
      </c>
    </row>
    <row r="1977" customFormat="false" ht="15" hidden="false" customHeight="false" outlineLevel="0" collapsed="false">
      <c r="A1977" s="0" t="s">
        <v>3036</v>
      </c>
      <c r="B1977" s="0" t="s">
        <v>1774</v>
      </c>
      <c r="D1977" s="46" t="n">
        <v>45988</v>
      </c>
      <c r="E1977" s="47" t="s">
        <v>55</v>
      </c>
      <c r="F1977" s="48" t="n">
        <v>58262.49</v>
      </c>
      <c r="G1977" s="47" t="s">
        <v>66</v>
      </c>
      <c r="H1977" s="47" t="s">
        <v>47</v>
      </c>
      <c r="I1977" s="47" t="s">
        <v>108</v>
      </c>
      <c r="J1977" s="47" t="s">
        <v>28</v>
      </c>
      <c r="K1977" s="47" t="s">
        <v>33</v>
      </c>
    </row>
    <row r="1978" customFormat="false" ht="15" hidden="false" customHeight="false" outlineLevel="0" collapsed="false">
      <c r="A1978" s="0" t="s">
        <v>3037</v>
      </c>
      <c r="B1978" s="0" t="s">
        <v>859</v>
      </c>
      <c r="D1978" s="46" t="n">
        <v>46144</v>
      </c>
      <c r="E1978" s="47" t="s">
        <v>55</v>
      </c>
      <c r="F1978" s="48" t="n">
        <v>127169.21</v>
      </c>
      <c r="G1978" s="47" t="s">
        <v>66</v>
      </c>
      <c r="H1978" s="47" t="s">
        <v>43</v>
      </c>
      <c r="I1978" s="47" t="s">
        <v>117</v>
      </c>
      <c r="J1978" s="47" t="s">
        <v>28</v>
      </c>
      <c r="K1978" s="47" t="s">
        <v>34</v>
      </c>
    </row>
    <row r="1979" customFormat="false" ht="15" hidden="false" customHeight="false" outlineLevel="0" collapsed="false">
      <c r="A1979" s="0" t="s">
        <v>3038</v>
      </c>
      <c r="B1979" s="0" t="s">
        <v>1641</v>
      </c>
      <c r="D1979" s="46" t="n">
        <v>46027</v>
      </c>
      <c r="E1979" s="47" t="s">
        <v>53</v>
      </c>
      <c r="F1979" s="48" t="n">
        <v>47042.81</v>
      </c>
      <c r="G1979" s="47" t="s">
        <v>65</v>
      </c>
      <c r="H1979" s="47" t="s">
        <v>48</v>
      </c>
      <c r="I1979" s="47" t="s">
        <v>212</v>
      </c>
      <c r="J1979" s="47" t="s">
        <v>28</v>
      </c>
      <c r="K1979" s="47" t="s">
        <v>33</v>
      </c>
    </row>
    <row r="1980" customFormat="false" ht="15" hidden="false" customHeight="false" outlineLevel="0" collapsed="false">
      <c r="A1980" s="0" t="s">
        <v>3039</v>
      </c>
      <c r="B1980" s="0" t="s">
        <v>328</v>
      </c>
      <c r="D1980" s="46" t="n">
        <v>45662</v>
      </c>
      <c r="E1980" s="47" t="s">
        <v>58</v>
      </c>
      <c r="F1980" s="48" t="n">
        <v>166313.56</v>
      </c>
      <c r="G1980" s="47" t="s">
        <v>57</v>
      </c>
      <c r="H1980" s="47" t="s">
        <v>39</v>
      </c>
      <c r="I1980" s="47" t="s">
        <v>98</v>
      </c>
      <c r="J1980" s="47" t="s">
        <v>28</v>
      </c>
      <c r="K1980" s="47" t="s">
        <v>33</v>
      </c>
    </row>
    <row r="1981" customFormat="false" ht="15" hidden="false" customHeight="false" outlineLevel="0" collapsed="false">
      <c r="A1981" s="0" t="s">
        <v>3040</v>
      </c>
      <c r="B1981" s="0" t="s">
        <v>658</v>
      </c>
      <c r="D1981" s="46" t="n">
        <v>45990</v>
      </c>
      <c r="E1981" s="47" t="s">
        <v>59</v>
      </c>
      <c r="F1981" s="48" t="n">
        <v>22320.35</v>
      </c>
      <c r="G1981" s="47" t="s">
        <v>57</v>
      </c>
      <c r="H1981" s="47" t="s">
        <v>45</v>
      </c>
      <c r="I1981" s="47" t="s">
        <v>95</v>
      </c>
      <c r="J1981" s="47" t="s">
        <v>28</v>
      </c>
      <c r="K1981" s="47" t="s">
        <v>33</v>
      </c>
    </row>
    <row r="1982" customFormat="false" ht="15" hidden="false" customHeight="false" outlineLevel="0" collapsed="false">
      <c r="A1982" s="0" t="s">
        <v>3041</v>
      </c>
      <c r="B1982" s="0" t="s">
        <v>2178</v>
      </c>
      <c r="D1982" s="46" t="n">
        <v>46295</v>
      </c>
      <c r="E1982" s="47" t="s">
        <v>61</v>
      </c>
      <c r="F1982" s="48" t="n">
        <v>154324.87</v>
      </c>
      <c r="G1982" s="47" t="s">
        <v>68</v>
      </c>
      <c r="H1982" s="47" t="s">
        <v>39</v>
      </c>
      <c r="I1982" s="47" t="s">
        <v>177</v>
      </c>
      <c r="J1982" s="47" t="s">
        <v>28</v>
      </c>
      <c r="K1982" s="47" t="s">
        <v>34</v>
      </c>
    </row>
    <row r="1983" customFormat="false" ht="15" hidden="false" customHeight="false" outlineLevel="0" collapsed="false">
      <c r="A1983" s="0" t="s">
        <v>3042</v>
      </c>
      <c r="B1983" s="0" t="s">
        <v>2464</v>
      </c>
      <c r="D1983" s="46" t="n">
        <v>46252</v>
      </c>
      <c r="E1983" s="47" t="s">
        <v>60</v>
      </c>
      <c r="F1983" s="48" t="n">
        <v>106117.01</v>
      </c>
      <c r="G1983" s="47" t="s">
        <v>53</v>
      </c>
      <c r="H1983" s="47" t="s">
        <v>48</v>
      </c>
      <c r="I1983" s="47" t="s">
        <v>114</v>
      </c>
      <c r="J1983" s="47" t="s">
        <v>28</v>
      </c>
      <c r="K1983" s="47" t="s">
        <v>33</v>
      </c>
    </row>
    <row r="1984" customFormat="false" ht="15" hidden="false" customHeight="false" outlineLevel="0" collapsed="false">
      <c r="A1984" s="0" t="s">
        <v>3043</v>
      </c>
      <c r="B1984" s="0" t="s">
        <v>704</v>
      </c>
      <c r="D1984" s="46" t="n">
        <v>46047</v>
      </c>
      <c r="E1984" s="47" t="s">
        <v>59</v>
      </c>
      <c r="F1984" s="48" t="n">
        <v>84448.37</v>
      </c>
      <c r="G1984" s="47" t="s">
        <v>57</v>
      </c>
      <c r="H1984" s="47" t="s">
        <v>46</v>
      </c>
      <c r="I1984" s="47" t="s">
        <v>121</v>
      </c>
      <c r="J1984" s="47" t="s">
        <v>28</v>
      </c>
      <c r="K1984" s="47" t="s">
        <v>34</v>
      </c>
    </row>
    <row r="1985" customFormat="false" ht="15" hidden="false" customHeight="false" outlineLevel="0" collapsed="false">
      <c r="A1985" s="0" t="s">
        <v>3044</v>
      </c>
      <c r="B1985" s="0" t="s">
        <v>85</v>
      </c>
      <c r="C1985" s="0" t="s">
        <v>3045</v>
      </c>
      <c r="D1985" s="46" t="n">
        <v>45986</v>
      </c>
      <c r="E1985" s="47" t="s">
        <v>61</v>
      </c>
      <c r="F1985" s="48" t="n">
        <v>131417.98</v>
      </c>
      <c r="G1985" s="47" t="s">
        <v>68</v>
      </c>
      <c r="H1985" s="47" t="s">
        <v>41</v>
      </c>
      <c r="I1985" s="47" t="s">
        <v>86</v>
      </c>
      <c r="J1985" s="47" t="s">
        <v>28</v>
      </c>
      <c r="K1985" s="47" t="s">
        <v>34</v>
      </c>
    </row>
    <row r="1986" customFormat="false" ht="15" hidden="false" customHeight="false" outlineLevel="0" collapsed="false">
      <c r="A1986" s="0" t="s">
        <v>3046</v>
      </c>
      <c r="B1986" s="0" t="s">
        <v>1190</v>
      </c>
      <c r="C1986" s="0" t="s">
        <v>3047</v>
      </c>
      <c r="D1986" s="46" t="n">
        <v>45937</v>
      </c>
      <c r="E1986" s="47" t="s">
        <v>53</v>
      </c>
      <c r="F1986" s="48" t="n">
        <v>14534.19</v>
      </c>
      <c r="G1986" s="47" t="s">
        <v>53</v>
      </c>
      <c r="H1986" s="47" t="s">
        <v>45</v>
      </c>
      <c r="I1986" s="47" t="s">
        <v>95</v>
      </c>
      <c r="J1986" s="47" t="s">
        <v>28</v>
      </c>
      <c r="K1986" s="47" t="s">
        <v>33</v>
      </c>
    </row>
    <row r="1987" customFormat="false" ht="15" hidden="false" customHeight="false" outlineLevel="0" collapsed="false">
      <c r="A1987" s="0" t="s">
        <v>3048</v>
      </c>
      <c r="B1987" s="0" t="s">
        <v>1628</v>
      </c>
      <c r="D1987" s="46" t="n">
        <v>46287</v>
      </c>
      <c r="E1987" s="47" t="s">
        <v>55</v>
      </c>
      <c r="F1987" s="48" t="n">
        <v>42018.51</v>
      </c>
      <c r="G1987" s="47" t="s">
        <v>65</v>
      </c>
      <c r="H1987" s="47" t="s">
        <v>45</v>
      </c>
      <c r="I1987" s="47" t="s">
        <v>217</v>
      </c>
      <c r="J1987" s="47" t="s">
        <v>28</v>
      </c>
      <c r="K1987" s="47" t="s">
        <v>34</v>
      </c>
    </row>
    <row r="1988" customFormat="false" ht="15" hidden="false" customHeight="false" outlineLevel="0" collapsed="false">
      <c r="A1988" s="0" t="s">
        <v>3049</v>
      </c>
      <c r="B1988" s="0" t="s">
        <v>1276</v>
      </c>
      <c r="D1988" s="46" t="n">
        <v>45676</v>
      </c>
      <c r="E1988" s="47" t="s">
        <v>59</v>
      </c>
      <c r="F1988" s="48" t="n">
        <v>98023.74</v>
      </c>
      <c r="G1988" s="47" t="s">
        <v>65</v>
      </c>
      <c r="H1988" s="47" t="s">
        <v>46</v>
      </c>
      <c r="I1988" s="47" t="s">
        <v>121</v>
      </c>
      <c r="J1988" s="47" t="s">
        <v>28</v>
      </c>
      <c r="K1988" s="47" t="s">
        <v>33</v>
      </c>
    </row>
    <row r="1989" customFormat="false" ht="15" hidden="false" customHeight="false" outlineLevel="0" collapsed="false">
      <c r="A1989" s="0" t="s">
        <v>3050</v>
      </c>
      <c r="B1989" s="0" t="s">
        <v>3051</v>
      </c>
      <c r="D1989" s="46" t="n">
        <v>45792</v>
      </c>
      <c r="E1989" s="47" t="s">
        <v>58</v>
      </c>
      <c r="F1989" s="48" t="n">
        <v>180604.85</v>
      </c>
      <c r="G1989" s="47" t="s">
        <v>65</v>
      </c>
      <c r="H1989" s="47" t="s">
        <v>42</v>
      </c>
      <c r="I1989" s="47" t="s">
        <v>137</v>
      </c>
      <c r="J1989" s="47" t="s">
        <v>28</v>
      </c>
      <c r="K1989" s="47" t="s">
        <v>33</v>
      </c>
    </row>
    <row r="1990" customFormat="false" ht="15" hidden="false" customHeight="false" outlineLevel="0" collapsed="false">
      <c r="A1990" s="0" t="s">
        <v>3052</v>
      </c>
      <c r="B1990" s="0" t="s">
        <v>1364</v>
      </c>
      <c r="D1990" s="46" t="n">
        <v>45786</v>
      </c>
      <c r="E1990" s="47" t="s">
        <v>59</v>
      </c>
      <c r="F1990" s="48" t="n">
        <v>59530.54</v>
      </c>
      <c r="G1990" s="47" t="s">
        <v>53</v>
      </c>
      <c r="H1990" s="47" t="s">
        <v>43</v>
      </c>
      <c r="I1990" s="47" t="s">
        <v>102</v>
      </c>
      <c r="J1990" s="47" t="s">
        <v>28</v>
      </c>
      <c r="K1990" s="47" t="s">
        <v>33</v>
      </c>
    </row>
    <row r="1991" customFormat="false" ht="15" hidden="false" customHeight="false" outlineLevel="0" collapsed="false">
      <c r="A1991" s="0" t="s">
        <v>3053</v>
      </c>
      <c r="B1991" s="0" t="s">
        <v>1459</v>
      </c>
      <c r="D1991" s="46" t="n">
        <v>46075</v>
      </c>
      <c r="E1991" s="47" t="s">
        <v>53</v>
      </c>
      <c r="F1991" s="48" t="n">
        <v>42024.5</v>
      </c>
      <c r="G1991" s="47" t="s">
        <v>68</v>
      </c>
      <c r="H1991" s="47" t="s">
        <v>45</v>
      </c>
      <c r="I1991" s="47" t="s">
        <v>95</v>
      </c>
      <c r="J1991" s="47" t="s">
        <v>28</v>
      </c>
      <c r="K1991" s="47" t="s">
        <v>33</v>
      </c>
    </row>
    <row r="1992" customFormat="false" ht="15" hidden="false" customHeight="false" outlineLevel="0" collapsed="false">
      <c r="A1992" s="0" t="s">
        <v>3054</v>
      </c>
      <c r="B1992" s="0" t="s">
        <v>518</v>
      </c>
      <c r="D1992" s="46" t="n">
        <v>45921</v>
      </c>
      <c r="E1992" s="47" t="s">
        <v>58</v>
      </c>
      <c r="F1992" s="48" t="n">
        <v>127390.58</v>
      </c>
      <c r="G1992" s="47" t="s">
        <v>53</v>
      </c>
      <c r="H1992" s="47" t="s">
        <v>48</v>
      </c>
      <c r="I1992" s="47" t="s">
        <v>111</v>
      </c>
      <c r="J1992" s="47" t="s">
        <v>28</v>
      </c>
      <c r="K1992" s="47" t="s">
        <v>34</v>
      </c>
    </row>
    <row r="1993" customFormat="false" ht="15" hidden="false" customHeight="false" outlineLevel="0" collapsed="false">
      <c r="A1993" s="0" t="s">
        <v>3055</v>
      </c>
      <c r="B1993" s="0" t="s">
        <v>1826</v>
      </c>
      <c r="D1993" s="46" t="n">
        <v>46182</v>
      </c>
      <c r="E1993" s="47" t="s">
        <v>55</v>
      </c>
      <c r="F1993" s="48" t="n">
        <v>105433.54</v>
      </c>
      <c r="G1993" s="47" t="s">
        <v>57</v>
      </c>
      <c r="H1993" s="47" t="s">
        <v>43</v>
      </c>
      <c r="I1993" s="47" t="s">
        <v>102</v>
      </c>
      <c r="J1993" s="47" t="s">
        <v>28</v>
      </c>
      <c r="K1993" s="47" t="s">
        <v>34</v>
      </c>
    </row>
    <row r="1994" customFormat="false" ht="15" hidden="false" customHeight="false" outlineLevel="0" collapsed="false">
      <c r="A1994" s="0" t="s">
        <v>3056</v>
      </c>
      <c r="B1994" s="0" t="s">
        <v>2255</v>
      </c>
      <c r="D1994" s="46" t="n">
        <v>46180</v>
      </c>
      <c r="E1994" s="47" t="s">
        <v>62</v>
      </c>
      <c r="F1994" s="48" t="n">
        <v>49845.86</v>
      </c>
      <c r="G1994" s="47" t="s">
        <v>65</v>
      </c>
      <c r="H1994" s="47" t="s">
        <v>46</v>
      </c>
      <c r="I1994" s="47" t="s">
        <v>242</v>
      </c>
      <c r="J1994" s="47" t="s">
        <v>28</v>
      </c>
      <c r="K1994" s="47" t="s">
        <v>33</v>
      </c>
    </row>
    <row r="1995" customFormat="false" ht="15" hidden="false" customHeight="false" outlineLevel="0" collapsed="false">
      <c r="A1995" s="0" t="s">
        <v>3057</v>
      </c>
      <c r="B1995" s="0" t="s">
        <v>183</v>
      </c>
      <c r="D1995" s="46" t="n">
        <v>46080</v>
      </c>
      <c r="E1995" s="47" t="s">
        <v>60</v>
      </c>
      <c r="F1995" s="48" t="n">
        <v>91389.99</v>
      </c>
      <c r="G1995" s="47" t="s">
        <v>53</v>
      </c>
      <c r="H1995" s="47" t="s">
        <v>42</v>
      </c>
      <c r="I1995" s="47" t="s">
        <v>105</v>
      </c>
      <c r="J1995" s="47" t="s">
        <v>28</v>
      </c>
      <c r="K1995" s="47" t="s">
        <v>33</v>
      </c>
    </row>
    <row r="1996" customFormat="false" ht="15" hidden="false" customHeight="false" outlineLevel="0" collapsed="false">
      <c r="A1996" s="0" t="s">
        <v>3058</v>
      </c>
      <c r="B1996" s="0" t="s">
        <v>1311</v>
      </c>
      <c r="D1996" s="46" t="n">
        <v>45781</v>
      </c>
      <c r="E1996" s="47" t="s">
        <v>60</v>
      </c>
      <c r="F1996" s="48" t="n">
        <v>109551.13</v>
      </c>
      <c r="G1996" s="47" t="s">
        <v>57</v>
      </c>
      <c r="H1996" s="47" t="s">
        <v>45</v>
      </c>
      <c r="I1996" s="47" t="s">
        <v>151</v>
      </c>
      <c r="J1996" s="47" t="s">
        <v>29</v>
      </c>
      <c r="K1996" s="47" t="s">
        <v>34</v>
      </c>
    </row>
    <row r="1997" customFormat="false" ht="15" hidden="false" customHeight="false" outlineLevel="0" collapsed="false">
      <c r="A1997" s="0" t="s">
        <v>3059</v>
      </c>
      <c r="B1997" s="0" t="s">
        <v>540</v>
      </c>
      <c r="D1997" s="46" t="n">
        <v>45759</v>
      </c>
      <c r="E1997" s="47" t="s">
        <v>61</v>
      </c>
      <c r="F1997" s="48" t="n">
        <v>127055.79</v>
      </c>
      <c r="G1997" s="47" t="s">
        <v>68</v>
      </c>
      <c r="H1997" s="47" t="s">
        <v>39</v>
      </c>
      <c r="I1997" s="47" t="s">
        <v>145</v>
      </c>
      <c r="J1997" s="47" t="s">
        <v>28</v>
      </c>
      <c r="K1997" s="47" t="s">
        <v>33</v>
      </c>
    </row>
    <row r="1998" customFormat="false" ht="15" hidden="false" customHeight="false" outlineLevel="0" collapsed="false">
      <c r="A1998" s="0" t="s">
        <v>3060</v>
      </c>
      <c r="B1998" s="0" t="s">
        <v>1701</v>
      </c>
      <c r="D1998" s="46" t="n">
        <v>45891</v>
      </c>
      <c r="E1998" s="47" t="s">
        <v>59</v>
      </c>
      <c r="F1998" s="48" t="n">
        <v>18809.91</v>
      </c>
      <c r="G1998" s="47" t="s">
        <v>68</v>
      </c>
      <c r="H1998" s="47" t="s">
        <v>42</v>
      </c>
      <c r="I1998" s="47" t="s">
        <v>398</v>
      </c>
      <c r="J1998" s="47" t="s">
        <v>28</v>
      </c>
      <c r="K1998" s="47" t="s">
        <v>34</v>
      </c>
    </row>
    <row r="1999" customFormat="false" ht="15" hidden="false" customHeight="false" outlineLevel="0" collapsed="false">
      <c r="A1999" s="0" t="s">
        <v>3061</v>
      </c>
      <c r="B1999" s="0" t="s">
        <v>360</v>
      </c>
      <c r="D1999" s="46" t="n">
        <v>46203</v>
      </c>
      <c r="E1999" s="47" t="s">
        <v>58</v>
      </c>
      <c r="F1999" s="48" t="n">
        <v>4991.28</v>
      </c>
      <c r="G1999" s="47" t="s">
        <v>66</v>
      </c>
      <c r="H1999" s="47" t="s">
        <v>44</v>
      </c>
      <c r="I1999" s="47" t="s">
        <v>132</v>
      </c>
      <c r="J1999" s="47" t="s">
        <v>28</v>
      </c>
      <c r="K1999" s="47" t="s">
        <v>33</v>
      </c>
    </row>
    <row r="2000" customFormat="false" ht="15" hidden="false" customHeight="false" outlineLevel="0" collapsed="false">
      <c r="A2000" s="0" t="s">
        <v>3062</v>
      </c>
      <c r="B2000" s="0" t="s">
        <v>3063</v>
      </c>
      <c r="D2000" s="46" t="n">
        <v>46228</v>
      </c>
      <c r="E2000" s="47" t="s">
        <v>59</v>
      </c>
      <c r="F2000" s="48" t="n">
        <v>124816.68</v>
      </c>
      <c r="G2000" s="47" t="s">
        <v>66</v>
      </c>
      <c r="H2000" s="47" t="s">
        <v>39</v>
      </c>
      <c r="I2000" s="47" t="s">
        <v>145</v>
      </c>
      <c r="J2000" s="47" t="s">
        <v>29</v>
      </c>
      <c r="K2000" s="47" t="s">
        <v>34</v>
      </c>
    </row>
    <row r="2001" customFormat="false" ht="15" hidden="false" customHeight="false" outlineLevel="0" collapsed="false">
      <c r="A2001" s="0" t="s">
        <v>3064</v>
      </c>
      <c r="B2001" s="0" t="s">
        <v>1661</v>
      </c>
      <c r="C2001" s="0" t="s">
        <v>1662</v>
      </c>
      <c r="D2001" s="46" t="n">
        <v>45793</v>
      </c>
      <c r="E2001" s="47" t="s">
        <v>53</v>
      </c>
      <c r="F2001" s="48" t="n">
        <v>120289.54</v>
      </c>
      <c r="G2001" s="47" t="s">
        <v>66</v>
      </c>
      <c r="H2001" s="47" t="s">
        <v>44</v>
      </c>
      <c r="I2001" s="47" t="s">
        <v>226</v>
      </c>
      <c r="J2001" s="47" t="s">
        <v>28</v>
      </c>
      <c r="K2001" s="47" t="s">
        <v>34</v>
      </c>
    </row>
    <row r="2002" customFormat="false" ht="15" hidden="false" customHeight="false" outlineLevel="0" collapsed="false">
      <c r="A2002" s="0" t="s">
        <v>3065</v>
      </c>
      <c r="B2002" s="0" t="s">
        <v>2514</v>
      </c>
      <c r="D2002" s="46" t="n">
        <v>45959</v>
      </c>
      <c r="E2002" s="47" t="s">
        <v>53</v>
      </c>
      <c r="F2002" s="48" t="n">
        <v>105350.55</v>
      </c>
      <c r="G2002" s="47" t="s">
        <v>53</v>
      </c>
      <c r="H2002" s="47" t="s">
        <v>46</v>
      </c>
      <c r="I2002" s="47" t="s">
        <v>148</v>
      </c>
      <c r="J2002" s="47" t="s">
        <v>28</v>
      </c>
      <c r="K2002" s="47" t="s">
        <v>34</v>
      </c>
    </row>
    <row r="2003" customFormat="false" ht="15" hidden="false" customHeight="false" outlineLevel="0" collapsed="false">
      <c r="A2003" s="0" t="s">
        <v>3066</v>
      </c>
      <c r="B2003" s="0" t="s">
        <v>441</v>
      </c>
      <c r="D2003" s="46" t="n">
        <v>46203</v>
      </c>
      <c r="E2003" s="47" t="s">
        <v>61</v>
      </c>
      <c r="F2003" s="48" t="n">
        <v>65550.17</v>
      </c>
      <c r="G2003" s="47" t="s">
        <v>66</v>
      </c>
      <c r="H2003" s="47" t="s">
        <v>45</v>
      </c>
      <c r="I2003" s="47" t="s">
        <v>217</v>
      </c>
      <c r="J2003" s="47" t="s">
        <v>29</v>
      </c>
      <c r="K2003" s="47" t="s">
        <v>33</v>
      </c>
    </row>
    <row r="2004" customFormat="false" ht="15" hidden="false" customHeight="false" outlineLevel="0" collapsed="false">
      <c r="A2004" s="0" t="s">
        <v>3067</v>
      </c>
      <c r="B2004" s="0" t="s">
        <v>239</v>
      </c>
      <c r="D2004" s="46" t="n">
        <v>46125</v>
      </c>
      <c r="E2004" s="47" t="s">
        <v>55</v>
      </c>
      <c r="F2004" s="48" t="n">
        <v>53698.39</v>
      </c>
      <c r="G2004" s="47" t="s">
        <v>68</v>
      </c>
      <c r="H2004" s="47" t="s">
        <v>44</v>
      </c>
      <c r="I2004" s="47" t="s">
        <v>226</v>
      </c>
      <c r="J2004" s="47" t="s">
        <v>28</v>
      </c>
      <c r="K2004" s="47" t="s">
        <v>34</v>
      </c>
    </row>
    <row r="2005" customFormat="false" ht="15" hidden="false" customHeight="false" outlineLevel="0" collapsed="false">
      <c r="A2005" s="0" t="s">
        <v>3068</v>
      </c>
      <c r="B2005" s="0" t="s">
        <v>954</v>
      </c>
      <c r="D2005" s="46" t="n">
        <v>45720</v>
      </c>
      <c r="E2005" s="47" t="s">
        <v>53</v>
      </c>
      <c r="F2005" s="48" t="n">
        <v>185067.39</v>
      </c>
      <c r="G2005" s="47" t="s">
        <v>53</v>
      </c>
      <c r="H2005" s="47" t="s">
        <v>42</v>
      </c>
      <c r="I2005" s="47" t="s">
        <v>105</v>
      </c>
      <c r="J2005" s="47" t="s">
        <v>28</v>
      </c>
      <c r="K2005" s="47" t="s">
        <v>34</v>
      </c>
    </row>
    <row r="2006" customFormat="false" ht="15" hidden="false" customHeight="false" outlineLevel="0" collapsed="false">
      <c r="A2006" s="0" t="s">
        <v>3069</v>
      </c>
      <c r="B2006" s="0" t="s">
        <v>952</v>
      </c>
      <c r="D2006" s="46" t="n">
        <v>45783</v>
      </c>
      <c r="E2006" s="47" t="s">
        <v>59</v>
      </c>
      <c r="F2006" s="48" t="n">
        <v>152131.15</v>
      </c>
      <c r="G2006" s="47" t="s">
        <v>68</v>
      </c>
      <c r="H2006" s="47" t="s">
        <v>40</v>
      </c>
      <c r="I2006" s="47" t="s">
        <v>89</v>
      </c>
      <c r="J2006" s="47" t="s">
        <v>28</v>
      </c>
      <c r="K2006" s="47" t="s">
        <v>34</v>
      </c>
    </row>
    <row r="2007" customFormat="false" ht="15" hidden="false" customHeight="false" outlineLevel="0" collapsed="false">
      <c r="A2007" s="0" t="s">
        <v>3070</v>
      </c>
      <c r="B2007" s="0" t="s">
        <v>1833</v>
      </c>
      <c r="D2007" s="46" t="n">
        <v>45968</v>
      </c>
      <c r="E2007" s="47" t="s">
        <v>60</v>
      </c>
      <c r="F2007" s="48" t="n">
        <v>66346.2</v>
      </c>
      <c r="G2007" s="47" t="s">
        <v>65</v>
      </c>
      <c r="H2007" s="47" t="s">
        <v>42</v>
      </c>
      <c r="I2007" s="47" t="s">
        <v>105</v>
      </c>
      <c r="J2007" s="47" t="s">
        <v>28</v>
      </c>
      <c r="K2007" s="47" t="s">
        <v>33</v>
      </c>
    </row>
    <row r="2008" customFormat="false" ht="15" hidden="false" customHeight="false" outlineLevel="0" collapsed="false">
      <c r="A2008" s="0" t="s">
        <v>3071</v>
      </c>
      <c r="B2008" s="0" t="s">
        <v>701</v>
      </c>
      <c r="D2008" s="46" t="n">
        <v>46020</v>
      </c>
      <c r="E2008" s="47" t="s">
        <v>60</v>
      </c>
      <c r="F2008" s="48" t="n">
        <v>68701.64</v>
      </c>
      <c r="G2008" s="47" t="s">
        <v>57</v>
      </c>
      <c r="H2008" s="47" t="s">
        <v>41</v>
      </c>
      <c r="I2008" s="47" t="s">
        <v>86</v>
      </c>
      <c r="J2008" s="47" t="s">
        <v>29</v>
      </c>
      <c r="K2008" s="47" t="s">
        <v>34</v>
      </c>
    </row>
    <row r="2009" customFormat="false" ht="15" hidden="false" customHeight="false" outlineLevel="0" collapsed="false">
      <c r="A2009" s="0" t="s">
        <v>3072</v>
      </c>
      <c r="B2009" s="0" t="s">
        <v>346</v>
      </c>
      <c r="D2009" s="46" t="n">
        <v>45928</v>
      </c>
      <c r="E2009" s="47" t="s">
        <v>60</v>
      </c>
      <c r="F2009" s="48" t="n">
        <v>98866.25</v>
      </c>
      <c r="G2009" s="47" t="s">
        <v>66</v>
      </c>
      <c r="H2009" s="47" t="s">
        <v>41</v>
      </c>
      <c r="I2009" s="47" t="s">
        <v>86</v>
      </c>
      <c r="J2009" s="47" t="s">
        <v>28</v>
      </c>
      <c r="K2009" s="47" t="s">
        <v>34</v>
      </c>
    </row>
    <row r="2010" customFormat="false" ht="15" hidden="false" customHeight="false" outlineLevel="0" collapsed="false">
      <c r="A2010" s="0" t="s">
        <v>3073</v>
      </c>
      <c r="B2010" s="0" t="s">
        <v>577</v>
      </c>
      <c r="D2010" s="46" t="n">
        <v>46131</v>
      </c>
      <c r="E2010" s="47" t="s">
        <v>62</v>
      </c>
      <c r="F2010" s="48" t="n">
        <v>56247.56</v>
      </c>
      <c r="G2010" s="47" t="s">
        <v>68</v>
      </c>
      <c r="H2010" s="47" t="s">
        <v>40</v>
      </c>
      <c r="I2010" s="47" t="s">
        <v>253</v>
      </c>
      <c r="J2010" s="47" t="s">
        <v>28</v>
      </c>
      <c r="K2010" s="47" t="s">
        <v>34</v>
      </c>
    </row>
    <row r="2011" customFormat="false" ht="15" hidden="false" customHeight="false" outlineLevel="0" collapsed="false">
      <c r="A2011" s="0" t="s">
        <v>3074</v>
      </c>
      <c r="B2011" s="0" t="s">
        <v>1102</v>
      </c>
      <c r="D2011" s="46" t="n">
        <v>45680</v>
      </c>
      <c r="E2011" s="47" t="s">
        <v>60</v>
      </c>
      <c r="F2011" s="48" t="n">
        <v>126973.22</v>
      </c>
      <c r="G2011" s="47" t="s">
        <v>57</v>
      </c>
      <c r="H2011" s="47" t="s">
        <v>42</v>
      </c>
      <c r="I2011" s="47" t="s">
        <v>105</v>
      </c>
      <c r="J2011" s="47" t="s">
        <v>30</v>
      </c>
      <c r="K2011" s="47" t="s">
        <v>33</v>
      </c>
    </row>
    <row r="2012" customFormat="false" ht="15" hidden="false" customHeight="false" outlineLevel="0" collapsed="false">
      <c r="A2012" s="0" t="s">
        <v>3075</v>
      </c>
      <c r="B2012" s="0" t="s">
        <v>348</v>
      </c>
      <c r="D2012" s="46" t="n">
        <v>45789</v>
      </c>
      <c r="E2012" s="47" t="s">
        <v>53</v>
      </c>
      <c r="F2012" s="48" t="n">
        <v>81549.07</v>
      </c>
      <c r="G2012" s="47" t="s">
        <v>53</v>
      </c>
      <c r="H2012" s="47" t="s">
        <v>46</v>
      </c>
      <c r="I2012" s="47" t="s">
        <v>148</v>
      </c>
      <c r="J2012" s="47" t="s">
        <v>28</v>
      </c>
      <c r="K2012" s="47" t="s">
        <v>34</v>
      </c>
    </row>
    <row r="2013" customFormat="false" ht="15" hidden="false" customHeight="false" outlineLevel="0" collapsed="false">
      <c r="A2013" s="0" t="s">
        <v>3076</v>
      </c>
      <c r="B2013" s="0" t="s">
        <v>225</v>
      </c>
      <c r="D2013" s="46" t="n">
        <v>45665</v>
      </c>
      <c r="E2013" s="47" t="s">
        <v>53</v>
      </c>
      <c r="F2013" s="48" t="n">
        <v>188232.6</v>
      </c>
      <c r="G2013" s="47" t="s">
        <v>57</v>
      </c>
      <c r="H2013" s="47" t="s">
        <v>44</v>
      </c>
      <c r="I2013" s="47" t="s">
        <v>226</v>
      </c>
      <c r="J2013" s="47" t="s">
        <v>30</v>
      </c>
      <c r="K2013" s="47" t="s">
        <v>34</v>
      </c>
    </row>
    <row r="2014" customFormat="false" ht="15" hidden="false" customHeight="false" outlineLevel="0" collapsed="false">
      <c r="A2014" s="0" t="s">
        <v>3077</v>
      </c>
      <c r="B2014" s="0" t="s">
        <v>868</v>
      </c>
      <c r="D2014" s="46" t="n">
        <v>45783</v>
      </c>
      <c r="E2014" s="47" t="s">
        <v>55</v>
      </c>
      <c r="F2014" s="48" t="n">
        <v>113969</v>
      </c>
      <c r="G2014" s="47" t="s">
        <v>68</v>
      </c>
      <c r="H2014" s="47" t="s">
        <v>46</v>
      </c>
      <c r="I2014" s="47" t="s">
        <v>121</v>
      </c>
      <c r="J2014" s="47" t="s">
        <v>28</v>
      </c>
      <c r="K2014" s="47" t="s">
        <v>34</v>
      </c>
    </row>
    <row r="2015" customFormat="false" ht="15" hidden="false" customHeight="false" outlineLevel="0" collapsed="false">
      <c r="A2015" s="0" t="s">
        <v>3078</v>
      </c>
      <c r="B2015" s="0" t="s">
        <v>2795</v>
      </c>
      <c r="D2015" s="46" t="n">
        <v>45909</v>
      </c>
      <c r="E2015" s="47" t="s">
        <v>53</v>
      </c>
      <c r="F2015" s="48" t="n">
        <v>144336.74</v>
      </c>
      <c r="G2015" s="47" t="s">
        <v>66</v>
      </c>
      <c r="H2015" s="47" t="s">
        <v>42</v>
      </c>
      <c r="I2015" s="47" t="s">
        <v>105</v>
      </c>
      <c r="J2015" s="47" t="s">
        <v>28</v>
      </c>
      <c r="K2015" s="47" t="s">
        <v>34</v>
      </c>
    </row>
    <row r="2016" customFormat="false" ht="15" hidden="false" customHeight="false" outlineLevel="0" collapsed="false">
      <c r="A2016" s="0" t="s">
        <v>3079</v>
      </c>
      <c r="B2016" s="0" t="s">
        <v>1190</v>
      </c>
      <c r="D2016" s="46" t="n">
        <v>45864</v>
      </c>
      <c r="E2016" s="47" t="s">
        <v>53</v>
      </c>
      <c r="F2016" s="48" t="n">
        <v>113450.2</v>
      </c>
      <c r="G2016" s="47" t="s">
        <v>53</v>
      </c>
      <c r="H2016" s="47" t="s">
        <v>45</v>
      </c>
      <c r="I2016" s="47" t="s">
        <v>95</v>
      </c>
      <c r="J2016" s="47" t="s">
        <v>28</v>
      </c>
      <c r="K2016" s="47" t="s">
        <v>34</v>
      </c>
    </row>
    <row r="2017" customFormat="false" ht="15" hidden="false" customHeight="false" outlineLevel="0" collapsed="false">
      <c r="A2017" s="0" t="s">
        <v>3080</v>
      </c>
      <c r="B2017" s="0" t="s">
        <v>3081</v>
      </c>
      <c r="D2017" s="46" t="n">
        <v>45829</v>
      </c>
      <c r="E2017" s="47" t="s">
        <v>58</v>
      </c>
      <c r="F2017" s="48" t="n">
        <v>106540.85</v>
      </c>
      <c r="G2017" s="47" t="s">
        <v>53</v>
      </c>
      <c r="H2017" s="47" t="s">
        <v>39</v>
      </c>
      <c r="I2017" s="47" t="s">
        <v>177</v>
      </c>
      <c r="J2017" s="47" t="s">
        <v>28</v>
      </c>
      <c r="K2017" s="47" t="s">
        <v>33</v>
      </c>
    </row>
    <row r="2018" customFormat="false" ht="15" hidden="false" customHeight="false" outlineLevel="0" collapsed="false">
      <c r="A2018" s="0" t="s">
        <v>3082</v>
      </c>
      <c r="B2018" s="0" t="s">
        <v>910</v>
      </c>
      <c r="D2018" s="46" t="n">
        <v>46114</v>
      </c>
      <c r="E2018" s="47" t="s">
        <v>55</v>
      </c>
      <c r="F2018" s="48" t="n">
        <v>149999.25</v>
      </c>
      <c r="G2018" s="47" t="s">
        <v>57</v>
      </c>
      <c r="H2018" s="47" t="s">
        <v>43</v>
      </c>
      <c r="I2018" s="47" t="s">
        <v>102</v>
      </c>
      <c r="J2018" s="47" t="s">
        <v>28</v>
      </c>
      <c r="K2018" s="47" t="s">
        <v>33</v>
      </c>
    </row>
    <row r="2019" customFormat="false" ht="15" hidden="false" customHeight="false" outlineLevel="0" collapsed="false">
      <c r="A2019" s="0" t="s">
        <v>3083</v>
      </c>
      <c r="B2019" s="0" t="s">
        <v>2917</v>
      </c>
      <c r="D2019" s="46" t="n">
        <v>46264</v>
      </c>
      <c r="E2019" s="47" t="s">
        <v>62</v>
      </c>
      <c r="F2019" s="48" t="n">
        <v>7578.42</v>
      </c>
      <c r="G2019" s="47" t="s">
        <v>66</v>
      </c>
      <c r="H2019" s="47" t="s">
        <v>47</v>
      </c>
      <c r="I2019" s="47" t="s">
        <v>108</v>
      </c>
      <c r="J2019" s="47" t="s">
        <v>28</v>
      </c>
      <c r="K2019" s="47" t="s">
        <v>33</v>
      </c>
    </row>
    <row r="2020" customFormat="false" ht="15" hidden="false" customHeight="false" outlineLevel="0" collapsed="false">
      <c r="A2020" s="0" t="s">
        <v>3084</v>
      </c>
      <c r="B2020" s="0" t="s">
        <v>426</v>
      </c>
      <c r="D2020" s="46" t="n">
        <v>46206</v>
      </c>
      <c r="E2020" s="47" t="s">
        <v>59</v>
      </c>
      <c r="F2020" s="48" t="n">
        <v>152337.69</v>
      </c>
      <c r="G2020" s="47" t="s">
        <v>65</v>
      </c>
      <c r="H2020" s="47" t="s">
        <v>39</v>
      </c>
      <c r="I2020" s="47" t="s">
        <v>98</v>
      </c>
      <c r="J2020" s="47" t="s">
        <v>28</v>
      </c>
      <c r="K2020" s="47" t="s">
        <v>34</v>
      </c>
    </row>
    <row r="2021" customFormat="false" ht="15" hidden="false" customHeight="false" outlineLevel="0" collapsed="false">
      <c r="A2021" s="0" t="s">
        <v>3085</v>
      </c>
      <c r="B2021" s="0" t="s">
        <v>527</v>
      </c>
      <c r="C2021" s="0" t="s">
        <v>3086</v>
      </c>
      <c r="D2021" s="46" t="n">
        <v>45776</v>
      </c>
      <c r="E2021" s="47" t="s">
        <v>53</v>
      </c>
      <c r="F2021" s="48" t="n">
        <v>111910.75</v>
      </c>
      <c r="G2021" s="47" t="s">
        <v>65</v>
      </c>
      <c r="H2021" s="47" t="s">
        <v>47</v>
      </c>
      <c r="I2021" s="47" t="s">
        <v>245</v>
      </c>
      <c r="J2021" s="47" t="s">
        <v>28</v>
      </c>
      <c r="K2021" s="47" t="s">
        <v>34</v>
      </c>
    </row>
    <row r="2022" customFormat="false" ht="15" hidden="false" customHeight="false" outlineLevel="0" collapsed="false">
      <c r="A2022" s="0" t="s">
        <v>3087</v>
      </c>
      <c r="B2022" s="0" t="s">
        <v>1553</v>
      </c>
      <c r="C2022" s="0" t="s">
        <v>3088</v>
      </c>
      <c r="D2022" s="46" t="n">
        <v>46271</v>
      </c>
      <c r="E2022" s="47" t="s">
        <v>59</v>
      </c>
      <c r="F2022" s="48" t="n">
        <v>16241.76</v>
      </c>
      <c r="G2022" s="47" t="s">
        <v>57</v>
      </c>
      <c r="H2022" s="47" t="s">
        <v>40</v>
      </c>
      <c r="I2022" s="47" t="s">
        <v>83</v>
      </c>
      <c r="J2022" s="47" t="s">
        <v>28</v>
      </c>
      <c r="K2022" s="47" t="s">
        <v>33</v>
      </c>
    </row>
    <row r="2023" customFormat="false" ht="15" hidden="false" customHeight="false" outlineLevel="0" collapsed="false">
      <c r="A2023" s="0" t="s">
        <v>3089</v>
      </c>
      <c r="B2023" s="0" t="s">
        <v>561</v>
      </c>
      <c r="C2023" s="0" t="s">
        <v>3090</v>
      </c>
      <c r="D2023" s="46" t="n">
        <v>45800</v>
      </c>
      <c r="E2023" s="47" t="s">
        <v>60</v>
      </c>
      <c r="F2023" s="48" t="n">
        <v>119439.52</v>
      </c>
      <c r="G2023" s="47" t="s">
        <v>66</v>
      </c>
      <c r="H2023" s="47" t="s">
        <v>43</v>
      </c>
      <c r="I2023" s="47" t="s">
        <v>201</v>
      </c>
      <c r="J2023" s="47" t="s">
        <v>28</v>
      </c>
      <c r="K2023" s="47" t="s">
        <v>34</v>
      </c>
    </row>
    <row r="2024" customFormat="false" ht="15" hidden="false" customHeight="false" outlineLevel="0" collapsed="false">
      <c r="A2024" s="0" t="s">
        <v>3091</v>
      </c>
      <c r="B2024" s="0" t="s">
        <v>758</v>
      </c>
      <c r="D2024" s="46" t="n">
        <v>45919</v>
      </c>
      <c r="E2024" s="47" t="s">
        <v>58</v>
      </c>
      <c r="F2024" s="48" t="n">
        <v>64982.69</v>
      </c>
      <c r="G2024" s="47" t="s">
        <v>68</v>
      </c>
      <c r="H2024" s="47" t="s">
        <v>39</v>
      </c>
      <c r="I2024" s="47" t="s">
        <v>177</v>
      </c>
      <c r="J2024" s="47" t="s">
        <v>30</v>
      </c>
      <c r="K2024" s="47" t="s">
        <v>34</v>
      </c>
    </row>
    <row r="2025" customFormat="false" ht="15" hidden="false" customHeight="false" outlineLevel="0" collapsed="false">
      <c r="A2025" s="0" t="s">
        <v>3092</v>
      </c>
      <c r="B2025" s="0" t="s">
        <v>804</v>
      </c>
      <c r="D2025" s="46" t="n">
        <v>45871</v>
      </c>
      <c r="E2025" s="47" t="s">
        <v>61</v>
      </c>
      <c r="F2025" s="48" t="n">
        <v>139422.05</v>
      </c>
      <c r="G2025" s="47" t="s">
        <v>66</v>
      </c>
      <c r="H2025" s="47" t="s">
        <v>40</v>
      </c>
      <c r="I2025" s="47" t="s">
        <v>83</v>
      </c>
      <c r="J2025" s="47" t="s">
        <v>28</v>
      </c>
      <c r="K2025" s="47" t="s">
        <v>34</v>
      </c>
    </row>
    <row r="2026" customFormat="false" ht="15" hidden="false" customHeight="false" outlineLevel="0" collapsed="false">
      <c r="A2026" s="0" t="s">
        <v>3093</v>
      </c>
      <c r="B2026" s="0" t="s">
        <v>3094</v>
      </c>
      <c r="D2026" s="46" t="n">
        <v>46100</v>
      </c>
      <c r="E2026" s="47" t="s">
        <v>55</v>
      </c>
      <c r="F2026" s="48" t="n">
        <v>34978.15</v>
      </c>
      <c r="G2026" s="47" t="s">
        <v>53</v>
      </c>
      <c r="H2026" s="47" t="s">
        <v>40</v>
      </c>
      <c r="I2026" s="47" t="s">
        <v>89</v>
      </c>
      <c r="J2026" s="47" t="s">
        <v>28</v>
      </c>
      <c r="K2026" s="47" t="s">
        <v>34</v>
      </c>
    </row>
    <row r="2027" customFormat="false" ht="15" hidden="false" customHeight="false" outlineLevel="0" collapsed="false">
      <c r="A2027" s="0" t="s">
        <v>3095</v>
      </c>
      <c r="B2027" s="0" t="s">
        <v>3096</v>
      </c>
      <c r="D2027" s="46" t="n">
        <v>45733</v>
      </c>
      <c r="E2027" s="47" t="s">
        <v>60</v>
      </c>
      <c r="F2027" s="48" t="n">
        <v>54356.56</v>
      </c>
      <c r="G2027" s="47" t="s">
        <v>57</v>
      </c>
      <c r="H2027" s="47" t="s">
        <v>40</v>
      </c>
      <c r="I2027" s="47" t="s">
        <v>89</v>
      </c>
      <c r="J2027" s="47" t="s">
        <v>28</v>
      </c>
      <c r="K2027" s="47" t="s">
        <v>33</v>
      </c>
    </row>
    <row r="2028" customFormat="false" ht="15" hidden="false" customHeight="false" outlineLevel="0" collapsed="false">
      <c r="A2028" s="0" t="s">
        <v>3097</v>
      </c>
      <c r="B2028" s="0" t="s">
        <v>395</v>
      </c>
      <c r="D2028" s="46" t="n">
        <v>45708</v>
      </c>
      <c r="E2028" s="47" t="s">
        <v>61</v>
      </c>
      <c r="F2028" s="48" t="n">
        <v>66533.63</v>
      </c>
      <c r="G2028" s="47" t="s">
        <v>66</v>
      </c>
      <c r="H2028" s="47" t="s">
        <v>43</v>
      </c>
      <c r="I2028" s="47" t="s">
        <v>201</v>
      </c>
      <c r="J2028" s="47" t="s">
        <v>28</v>
      </c>
      <c r="K2028" s="47" t="s">
        <v>34</v>
      </c>
    </row>
    <row r="2029" customFormat="false" ht="15" hidden="false" customHeight="false" outlineLevel="0" collapsed="false">
      <c r="A2029" s="0" t="s">
        <v>3098</v>
      </c>
      <c r="B2029" s="0" t="s">
        <v>2586</v>
      </c>
      <c r="D2029" s="46" t="n">
        <v>46032</v>
      </c>
      <c r="E2029" s="47" t="s">
        <v>58</v>
      </c>
      <c r="F2029" s="48" t="n">
        <v>63978.12</v>
      </c>
      <c r="G2029" s="47" t="s">
        <v>57</v>
      </c>
      <c r="H2029" s="47" t="s">
        <v>44</v>
      </c>
      <c r="I2029" s="47" t="s">
        <v>226</v>
      </c>
      <c r="J2029" s="47" t="s">
        <v>28</v>
      </c>
      <c r="K2029" s="47" t="s">
        <v>34</v>
      </c>
    </row>
    <row r="2030" customFormat="false" ht="15" hidden="false" customHeight="false" outlineLevel="0" collapsed="false">
      <c r="A2030" s="0" t="s">
        <v>3099</v>
      </c>
      <c r="B2030" s="0" t="s">
        <v>328</v>
      </c>
      <c r="D2030" s="46" t="n">
        <v>45996</v>
      </c>
      <c r="E2030" s="47" t="s">
        <v>58</v>
      </c>
      <c r="F2030" s="48" t="n">
        <v>23869.96</v>
      </c>
      <c r="G2030" s="47" t="s">
        <v>53</v>
      </c>
      <c r="H2030" s="47" t="s">
        <v>39</v>
      </c>
      <c r="I2030" s="47" t="s">
        <v>98</v>
      </c>
      <c r="J2030" s="47" t="s">
        <v>28</v>
      </c>
      <c r="K2030" s="47" t="s">
        <v>33</v>
      </c>
    </row>
    <row r="2031" customFormat="false" ht="15" hidden="false" customHeight="false" outlineLevel="0" collapsed="false">
      <c r="A2031" s="0" t="s">
        <v>3100</v>
      </c>
      <c r="B2031" s="0" t="s">
        <v>1062</v>
      </c>
      <c r="D2031" s="46" t="n">
        <v>46071</v>
      </c>
      <c r="E2031" s="47" t="s">
        <v>59</v>
      </c>
      <c r="F2031" s="48" t="n">
        <v>177738.96</v>
      </c>
      <c r="G2031" s="47" t="s">
        <v>53</v>
      </c>
      <c r="H2031" s="47" t="s">
        <v>41</v>
      </c>
      <c r="I2031" s="47" t="s">
        <v>86</v>
      </c>
      <c r="J2031" s="47" t="s">
        <v>28</v>
      </c>
      <c r="K2031" s="47" t="s">
        <v>33</v>
      </c>
    </row>
    <row r="2032" customFormat="false" ht="15" hidden="false" customHeight="false" outlineLevel="0" collapsed="false">
      <c r="A2032" s="0" t="s">
        <v>3101</v>
      </c>
      <c r="B2032" s="0" t="s">
        <v>936</v>
      </c>
      <c r="D2032" s="46" t="n">
        <v>46111</v>
      </c>
      <c r="E2032" s="47" t="s">
        <v>55</v>
      </c>
      <c r="F2032" s="48" t="n">
        <v>53449.64</v>
      </c>
      <c r="G2032" s="47" t="s">
        <v>65</v>
      </c>
      <c r="H2032" s="47" t="s">
        <v>47</v>
      </c>
      <c r="I2032" s="47" t="s">
        <v>245</v>
      </c>
      <c r="J2032" s="47" t="s">
        <v>28</v>
      </c>
      <c r="K2032" s="47" t="s">
        <v>34</v>
      </c>
    </row>
    <row r="2033" customFormat="false" ht="15" hidden="false" customHeight="false" outlineLevel="0" collapsed="false">
      <c r="A2033" s="0" t="s">
        <v>3102</v>
      </c>
      <c r="B2033" s="0" t="s">
        <v>110</v>
      </c>
      <c r="D2033" s="46" t="n">
        <v>45944</v>
      </c>
      <c r="E2033" s="47" t="s">
        <v>59</v>
      </c>
      <c r="F2033" s="48" t="n">
        <v>100894.02</v>
      </c>
      <c r="G2033" s="47" t="s">
        <v>68</v>
      </c>
      <c r="H2033" s="47" t="s">
        <v>48</v>
      </c>
      <c r="I2033" s="47" t="s">
        <v>111</v>
      </c>
      <c r="J2033" s="47" t="s">
        <v>28</v>
      </c>
      <c r="K2033" s="47" t="s">
        <v>34</v>
      </c>
    </row>
    <row r="2034" customFormat="false" ht="15" hidden="false" customHeight="false" outlineLevel="0" collapsed="false">
      <c r="A2034" s="0" t="s">
        <v>3103</v>
      </c>
      <c r="B2034" s="0" t="s">
        <v>534</v>
      </c>
      <c r="D2034" s="46" t="n">
        <v>45688</v>
      </c>
      <c r="E2034" s="47" t="s">
        <v>55</v>
      </c>
      <c r="F2034" s="48" t="n">
        <v>97057.01</v>
      </c>
      <c r="G2034" s="47" t="s">
        <v>65</v>
      </c>
      <c r="H2034" s="47" t="s">
        <v>42</v>
      </c>
      <c r="I2034" s="47" t="s">
        <v>105</v>
      </c>
      <c r="J2034" s="47" t="s">
        <v>28</v>
      </c>
      <c r="K2034" s="47" t="s">
        <v>33</v>
      </c>
    </row>
    <row r="2035" customFormat="false" ht="15" hidden="false" customHeight="false" outlineLevel="0" collapsed="false">
      <c r="A2035" s="0" t="s">
        <v>3104</v>
      </c>
      <c r="B2035" s="0" t="s">
        <v>1392</v>
      </c>
      <c r="C2035" s="0" t="s">
        <v>3105</v>
      </c>
      <c r="D2035" s="46" t="n">
        <v>46281</v>
      </c>
      <c r="E2035" s="47" t="s">
        <v>53</v>
      </c>
      <c r="F2035" s="48" t="n">
        <v>138453.02</v>
      </c>
      <c r="G2035" s="47" t="s">
        <v>57</v>
      </c>
      <c r="H2035" s="47" t="s">
        <v>47</v>
      </c>
      <c r="I2035" s="47" t="s">
        <v>166</v>
      </c>
      <c r="J2035" s="47" t="s">
        <v>28</v>
      </c>
      <c r="K2035" s="47" t="s">
        <v>33</v>
      </c>
    </row>
    <row r="2036" customFormat="false" ht="15" hidden="false" customHeight="false" outlineLevel="0" collapsed="false">
      <c r="A2036" s="0" t="s">
        <v>3106</v>
      </c>
      <c r="B2036" s="0" t="s">
        <v>1748</v>
      </c>
      <c r="D2036" s="46" t="n">
        <v>46276</v>
      </c>
      <c r="E2036" s="47" t="s">
        <v>55</v>
      </c>
      <c r="F2036" s="48" t="n">
        <v>96151.34</v>
      </c>
      <c r="G2036" s="47" t="s">
        <v>53</v>
      </c>
      <c r="H2036" s="47" t="s">
        <v>46</v>
      </c>
      <c r="I2036" s="47" t="s">
        <v>242</v>
      </c>
      <c r="J2036" s="47" t="s">
        <v>28</v>
      </c>
      <c r="K2036" s="47" t="s">
        <v>33</v>
      </c>
    </row>
    <row r="2037" customFormat="false" ht="15" hidden="false" customHeight="false" outlineLevel="0" collapsed="false">
      <c r="A2037" s="0" t="s">
        <v>3107</v>
      </c>
      <c r="B2037" s="0" t="s">
        <v>3108</v>
      </c>
      <c r="D2037" s="46" t="n">
        <v>46254</v>
      </c>
      <c r="E2037" s="47" t="s">
        <v>62</v>
      </c>
      <c r="F2037" s="48" t="n">
        <v>154239.67</v>
      </c>
      <c r="G2037" s="47" t="s">
        <v>53</v>
      </c>
      <c r="H2037" s="47" t="s">
        <v>40</v>
      </c>
      <c r="I2037" s="47" t="s">
        <v>83</v>
      </c>
      <c r="J2037" s="47" t="s">
        <v>28</v>
      </c>
      <c r="K2037" s="47" t="s">
        <v>33</v>
      </c>
    </row>
    <row r="2038" customFormat="false" ht="15" hidden="false" customHeight="false" outlineLevel="0" collapsed="false">
      <c r="A2038" s="0" t="s">
        <v>3109</v>
      </c>
      <c r="B2038" s="0" t="s">
        <v>1682</v>
      </c>
      <c r="D2038" s="46" t="n">
        <v>46145</v>
      </c>
      <c r="E2038" s="47" t="s">
        <v>55</v>
      </c>
      <c r="F2038" s="48" t="n">
        <v>166201.78</v>
      </c>
      <c r="G2038" s="47" t="s">
        <v>53</v>
      </c>
      <c r="H2038" s="47" t="s">
        <v>44</v>
      </c>
      <c r="I2038" s="47" t="s">
        <v>132</v>
      </c>
      <c r="J2038" s="47" t="s">
        <v>28</v>
      </c>
      <c r="K2038" s="47" t="s">
        <v>33</v>
      </c>
    </row>
    <row r="2039" customFormat="false" ht="15" hidden="false" customHeight="false" outlineLevel="0" collapsed="false">
      <c r="A2039" s="0" t="s">
        <v>3110</v>
      </c>
      <c r="B2039" s="0" t="s">
        <v>837</v>
      </c>
      <c r="D2039" s="46" t="n">
        <v>45812</v>
      </c>
      <c r="E2039" s="47" t="s">
        <v>53</v>
      </c>
      <c r="F2039" s="48" t="n">
        <v>138191.88</v>
      </c>
      <c r="G2039" s="47" t="s">
        <v>66</v>
      </c>
      <c r="H2039" s="47" t="s">
        <v>39</v>
      </c>
      <c r="I2039" s="47" t="s">
        <v>177</v>
      </c>
      <c r="J2039" s="47" t="s">
        <v>28</v>
      </c>
      <c r="K2039" s="47" t="s">
        <v>33</v>
      </c>
    </row>
    <row r="2040" customFormat="false" ht="15" hidden="false" customHeight="false" outlineLevel="0" collapsed="false">
      <c r="A2040" s="0" t="s">
        <v>3111</v>
      </c>
      <c r="B2040" s="0" t="s">
        <v>524</v>
      </c>
      <c r="D2040" s="46" t="n">
        <v>45780</v>
      </c>
      <c r="E2040" s="47" t="s">
        <v>55</v>
      </c>
      <c r="F2040" s="48" t="n">
        <v>47118.94</v>
      </c>
      <c r="G2040" s="47" t="s">
        <v>53</v>
      </c>
      <c r="H2040" s="47" t="s">
        <v>41</v>
      </c>
      <c r="I2040" s="47" t="s">
        <v>272</v>
      </c>
      <c r="J2040" s="47" t="s">
        <v>28</v>
      </c>
      <c r="K2040" s="47" t="s">
        <v>33</v>
      </c>
    </row>
    <row r="2041" customFormat="false" ht="15" hidden="false" customHeight="false" outlineLevel="0" collapsed="false">
      <c r="A2041" s="0" t="s">
        <v>3112</v>
      </c>
      <c r="B2041" s="0" t="s">
        <v>669</v>
      </c>
      <c r="D2041" s="46" t="n">
        <v>45663</v>
      </c>
      <c r="E2041" s="47" t="s">
        <v>58</v>
      </c>
      <c r="F2041" s="48" t="n">
        <v>159083.61</v>
      </c>
      <c r="G2041" s="47" t="s">
        <v>53</v>
      </c>
      <c r="H2041" s="47" t="s">
        <v>40</v>
      </c>
      <c r="I2041" s="47" t="s">
        <v>83</v>
      </c>
      <c r="J2041" s="47" t="s">
        <v>29</v>
      </c>
      <c r="K2041" s="47" t="s">
        <v>33</v>
      </c>
    </row>
    <row r="2042" customFormat="false" ht="15" hidden="false" customHeight="false" outlineLevel="0" collapsed="false">
      <c r="A2042" s="0" t="s">
        <v>3113</v>
      </c>
      <c r="B2042" s="0" t="s">
        <v>339</v>
      </c>
      <c r="D2042" s="46" t="n">
        <v>46143</v>
      </c>
      <c r="E2042" s="47" t="s">
        <v>62</v>
      </c>
      <c r="F2042" s="48" t="n">
        <v>24352.47</v>
      </c>
      <c r="G2042" s="47" t="s">
        <v>65</v>
      </c>
      <c r="H2042" s="47" t="s">
        <v>47</v>
      </c>
      <c r="I2042" s="47" t="s">
        <v>108</v>
      </c>
      <c r="J2042" s="47" t="s">
        <v>28</v>
      </c>
      <c r="K2042" s="47" t="s">
        <v>34</v>
      </c>
    </row>
    <row r="2043" customFormat="false" ht="15" hidden="false" customHeight="false" outlineLevel="0" collapsed="false">
      <c r="A2043" s="0" t="s">
        <v>3114</v>
      </c>
      <c r="B2043" s="0" t="s">
        <v>1238</v>
      </c>
      <c r="D2043" s="46" t="n">
        <v>45733</v>
      </c>
      <c r="E2043" s="47" t="s">
        <v>55</v>
      </c>
      <c r="F2043" s="48" t="n">
        <v>83642.91</v>
      </c>
      <c r="G2043" s="47" t="s">
        <v>65</v>
      </c>
      <c r="H2043" s="47" t="s">
        <v>39</v>
      </c>
      <c r="I2043" s="47" t="s">
        <v>145</v>
      </c>
      <c r="J2043" s="47" t="s">
        <v>30</v>
      </c>
      <c r="K2043" s="47" t="s">
        <v>33</v>
      </c>
    </row>
    <row r="2044" customFormat="false" ht="15" hidden="false" customHeight="false" outlineLevel="0" collapsed="false">
      <c r="A2044" s="0" t="s">
        <v>3115</v>
      </c>
      <c r="B2044" s="0" t="s">
        <v>1408</v>
      </c>
      <c r="C2044" s="0" t="s">
        <v>3116</v>
      </c>
      <c r="D2044" s="46" t="n">
        <v>46045</v>
      </c>
      <c r="E2044" s="47" t="s">
        <v>61</v>
      </c>
      <c r="F2044" s="48" t="n">
        <v>1711.97</v>
      </c>
      <c r="G2044" s="47" t="s">
        <v>68</v>
      </c>
      <c r="H2044" s="47" t="s">
        <v>46</v>
      </c>
      <c r="I2044" s="47" t="s">
        <v>242</v>
      </c>
      <c r="J2044" s="47" t="s">
        <v>28</v>
      </c>
      <c r="K2044" s="47" t="s">
        <v>33</v>
      </c>
    </row>
    <row r="2045" customFormat="false" ht="15" hidden="false" customHeight="false" outlineLevel="0" collapsed="false">
      <c r="A2045" s="0" t="s">
        <v>3117</v>
      </c>
      <c r="B2045" s="0" t="s">
        <v>2224</v>
      </c>
      <c r="D2045" s="46" t="n">
        <v>45686</v>
      </c>
      <c r="E2045" s="47" t="s">
        <v>53</v>
      </c>
      <c r="F2045" s="48" t="n">
        <v>111201.24</v>
      </c>
      <c r="G2045" s="47" t="s">
        <v>57</v>
      </c>
      <c r="H2045" s="47" t="s">
        <v>44</v>
      </c>
      <c r="I2045" s="47" t="s">
        <v>132</v>
      </c>
      <c r="J2045" s="47" t="s">
        <v>28</v>
      </c>
      <c r="K2045" s="47" t="s">
        <v>34</v>
      </c>
    </row>
    <row r="2046" customFormat="false" ht="15" hidden="false" customHeight="false" outlineLevel="0" collapsed="false">
      <c r="A2046" s="0" t="s">
        <v>3118</v>
      </c>
      <c r="B2046" s="0" t="s">
        <v>1444</v>
      </c>
      <c r="D2046" s="46" t="n">
        <v>45981</v>
      </c>
      <c r="E2046" s="47" t="s">
        <v>62</v>
      </c>
      <c r="F2046" s="48" t="n">
        <v>148276.66</v>
      </c>
      <c r="G2046" s="47" t="s">
        <v>57</v>
      </c>
      <c r="H2046" s="47" t="s">
        <v>45</v>
      </c>
      <c r="I2046" s="47" t="s">
        <v>217</v>
      </c>
      <c r="J2046" s="47" t="s">
        <v>28</v>
      </c>
      <c r="K2046" s="47" t="s">
        <v>34</v>
      </c>
    </row>
    <row r="2047" customFormat="false" ht="15" hidden="false" customHeight="false" outlineLevel="0" collapsed="false">
      <c r="A2047" s="0" t="s">
        <v>3119</v>
      </c>
      <c r="B2047" s="0" t="s">
        <v>1969</v>
      </c>
      <c r="C2047" s="0" t="s">
        <v>3120</v>
      </c>
      <c r="D2047" s="46" t="n">
        <v>46036</v>
      </c>
      <c r="E2047" s="47" t="s">
        <v>61</v>
      </c>
      <c r="F2047" s="48" t="n">
        <v>21976.76</v>
      </c>
      <c r="G2047" s="47" t="s">
        <v>66</v>
      </c>
      <c r="H2047" s="47" t="s">
        <v>43</v>
      </c>
      <c r="I2047" s="47" t="s">
        <v>201</v>
      </c>
      <c r="J2047" s="47" t="s">
        <v>28</v>
      </c>
      <c r="K2047" s="47" t="s">
        <v>34</v>
      </c>
    </row>
    <row r="2048" customFormat="false" ht="15" hidden="false" customHeight="false" outlineLevel="0" collapsed="false">
      <c r="A2048" s="0" t="s">
        <v>3121</v>
      </c>
      <c r="B2048" s="0" t="s">
        <v>1379</v>
      </c>
      <c r="C2048" s="0" t="s">
        <v>1380</v>
      </c>
      <c r="D2048" s="46" t="n">
        <v>46124</v>
      </c>
      <c r="E2048" s="47" t="s">
        <v>55</v>
      </c>
      <c r="F2048" s="48" t="n">
        <v>1332.54</v>
      </c>
      <c r="G2048" s="47" t="s">
        <v>57</v>
      </c>
      <c r="H2048" s="47" t="s">
        <v>48</v>
      </c>
      <c r="I2048" s="47" t="s">
        <v>212</v>
      </c>
      <c r="J2048" s="47" t="s">
        <v>28</v>
      </c>
      <c r="K2048" s="47" t="s">
        <v>34</v>
      </c>
    </row>
    <row r="2049" customFormat="false" ht="15" hidden="false" customHeight="false" outlineLevel="0" collapsed="false">
      <c r="A2049" s="0" t="s">
        <v>3122</v>
      </c>
      <c r="B2049" s="0" t="s">
        <v>1780</v>
      </c>
      <c r="D2049" s="46" t="n">
        <v>45760</v>
      </c>
      <c r="E2049" s="47" t="s">
        <v>53</v>
      </c>
      <c r="F2049" s="48" t="n">
        <v>52638.5</v>
      </c>
      <c r="G2049" s="47" t="s">
        <v>65</v>
      </c>
      <c r="H2049" s="47" t="s">
        <v>39</v>
      </c>
      <c r="I2049" s="47" t="s">
        <v>98</v>
      </c>
      <c r="J2049" s="47" t="s">
        <v>28</v>
      </c>
      <c r="K2049" s="47" t="s">
        <v>33</v>
      </c>
    </row>
    <row r="2050" customFormat="false" ht="15" hidden="false" customHeight="false" outlineLevel="0" collapsed="false">
      <c r="A2050" s="0" t="s">
        <v>3123</v>
      </c>
      <c r="B2050" s="0" t="s">
        <v>1426</v>
      </c>
      <c r="D2050" s="46" t="n">
        <v>46254</v>
      </c>
      <c r="E2050" s="47" t="s">
        <v>61</v>
      </c>
      <c r="F2050" s="48" t="n">
        <v>99323.5</v>
      </c>
      <c r="G2050" s="47" t="s">
        <v>57</v>
      </c>
      <c r="H2050" s="47" t="s">
        <v>45</v>
      </c>
      <c r="I2050" s="47" t="s">
        <v>217</v>
      </c>
      <c r="J2050" s="47" t="s">
        <v>28</v>
      </c>
      <c r="K2050" s="47" t="s">
        <v>34</v>
      </c>
    </row>
    <row r="2051" customFormat="false" ht="15" hidden="false" customHeight="false" outlineLevel="0" collapsed="false">
      <c r="A2051" s="0" t="s">
        <v>3124</v>
      </c>
      <c r="B2051" s="0" t="s">
        <v>671</v>
      </c>
      <c r="C2051" s="0" t="s">
        <v>3125</v>
      </c>
      <c r="D2051" s="46" t="n">
        <v>45698</v>
      </c>
      <c r="E2051" s="47" t="s">
        <v>58</v>
      </c>
      <c r="F2051" s="48" t="n">
        <v>22019.56</v>
      </c>
      <c r="G2051" s="47" t="s">
        <v>53</v>
      </c>
      <c r="H2051" s="47" t="s">
        <v>45</v>
      </c>
      <c r="I2051" s="47" t="s">
        <v>217</v>
      </c>
      <c r="J2051" s="47" t="s">
        <v>28</v>
      </c>
      <c r="K2051" s="47" t="s">
        <v>33</v>
      </c>
    </row>
    <row r="2052" customFormat="false" ht="15" hidden="false" customHeight="false" outlineLevel="0" collapsed="false">
      <c r="A2052" s="0" t="s">
        <v>3126</v>
      </c>
      <c r="B2052" s="0" t="s">
        <v>690</v>
      </c>
      <c r="D2052" s="46" t="n">
        <v>45755</v>
      </c>
      <c r="E2052" s="47" t="s">
        <v>55</v>
      </c>
      <c r="F2052" s="48" t="n">
        <v>26825.06</v>
      </c>
      <c r="G2052" s="47" t="s">
        <v>68</v>
      </c>
      <c r="H2052" s="47" t="s">
        <v>43</v>
      </c>
      <c r="I2052" s="47" t="s">
        <v>201</v>
      </c>
      <c r="J2052" s="47" t="s">
        <v>28</v>
      </c>
      <c r="K2052" s="47" t="s">
        <v>33</v>
      </c>
    </row>
    <row r="2053" customFormat="false" ht="15" hidden="false" customHeight="false" outlineLevel="0" collapsed="false">
      <c r="A2053" s="0" t="s">
        <v>3127</v>
      </c>
      <c r="B2053" s="0" t="s">
        <v>125</v>
      </c>
      <c r="D2053" s="46" t="n">
        <v>45662</v>
      </c>
      <c r="E2053" s="47" t="s">
        <v>62</v>
      </c>
      <c r="F2053" s="48" t="n">
        <v>90549.21</v>
      </c>
      <c r="G2053" s="47" t="s">
        <v>53</v>
      </c>
      <c r="H2053" s="47" t="s">
        <v>46</v>
      </c>
      <c r="I2053" s="47" t="s">
        <v>121</v>
      </c>
      <c r="J2053" s="47" t="s">
        <v>28</v>
      </c>
      <c r="K2053" s="47" t="s">
        <v>33</v>
      </c>
    </row>
    <row r="2054" customFormat="false" ht="15" hidden="false" customHeight="false" outlineLevel="0" collapsed="false">
      <c r="A2054" s="0" t="s">
        <v>3128</v>
      </c>
      <c r="B2054" s="0" t="s">
        <v>1040</v>
      </c>
      <c r="D2054" s="46" t="n">
        <v>45665</v>
      </c>
      <c r="E2054" s="47" t="s">
        <v>61</v>
      </c>
      <c r="F2054" s="48" t="n">
        <v>168569.04</v>
      </c>
      <c r="G2054" s="47" t="s">
        <v>65</v>
      </c>
      <c r="H2054" s="47" t="s">
        <v>41</v>
      </c>
      <c r="I2054" s="47" t="s">
        <v>293</v>
      </c>
      <c r="J2054" s="47" t="s">
        <v>28</v>
      </c>
      <c r="K2054" s="47" t="s">
        <v>33</v>
      </c>
    </row>
    <row r="2055" customFormat="false" ht="15" hidden="false" customHeight="false" outlineLevel="0" collapsed="false">
      <c r="A2055" s="0" t="s">
        <v>3129</v>
      </c>
      <c r="B2055" s="0" t="s">
        <v>85</v>
      </c>
      <c r="D2055" s="46" t="n">
        <v>46225</v>
      </c>
      <c r="E2055" s="47" t="s">
        <v>53</v>
      </c>
      <c r="F2055" s="48" t="n">
        <v>101446.78</v>
      </c>
      <c r="G2055" s="47" t="s">
        <v>65</v>
      </c>
      <c r="H2055" s="47" t="s">
        <v>41</v>
      </c>
      <c r="I2055" s="47" t="s">
        <v>86</v>
      </c>
      <c r="J2055" s="47" t="s">
        <v>28</v>
      </c>
      <c r="K2055" s="47" t="s">
        <v>34</v>
      </c>
    </row>
    <row r="2056" customFormat="false" ht="15" hidden="false" customHeight="false" outlineLevel="0" collapsed="false">
      <c r="A2056" s="0" t="s">
        <v>3130</v>
      </c>
      <c r="B2056" s="0" t="s">
        <v>3131</v>
      </c>
      <c r="D2056" s="46" t="n">
        <v>46005</v>
      </c>
      <c r="E2056" s="47" t="s">
        <v>61</v>
      </c>
      <c r="F2056" s="48" t="n">
        <v>22922.42</v>
      </c>
      <c r="G2056" s="47" t="s">
        <v>53</v>
      </c>
      <c r="H2056" s="47" t="s">
        <v>39</v>
      </c>
      <c r="I2056" s="47" t="s">
        <v>98</v>
      </c>
      <c r="J2056" s="47" t="s">
        <v>28</v>
      </c>
      <c r="K2056" s="47" t="s">
        <v>33</v>
      </c>
    </row>
    <row r="2057" customFormat="false" ht="15" hidden="false" customHeight="false" outlineLevel="0" collapsed="false">
      <c r="A2057" s="0" t="s">
        <v>3132</v>
      </c>
      <c r="B2057" s="0" t="s">
        <v>2058</v>
      </c>
      <c r="D2057" s="46" t="n">
        <v>45701</v>
      </c>
      <c r="E2057" s="47" t="s">
        <v>62</v>
      </c>
      <c r="F2057" s="48" t="n">
        <v>69433.15</v>
      </c>
      <c r="G2057" s="47" t="s">
        <v>57</v>
      </c>
      <c r="H2057" s="47" t="s">
        <v>44</v>
      </c>
      <c r="I2057" s="47" t="s">
        <v>80</v>
      </c>
      <c r="J2057" s="47" t="s">
        <v>28</v>
      </c>
      <c r="K2057" s="47" t="s">
        <v>33</v>
      </c>
    </row>
    <row r="2058" customFormat="false" ht="15" hidden="false" customHeight="false" outlineLevel="0" collapsed="false">
      <c r="A2058" s="0" t="s">
        <v>3133</v>
      </c>
      <c r="B2058" s="0" t="s">
        <v>3134</v>
      </c>
      <c r="D2058" s="46" t="n">
        <v>45995</v>
      </c>
      <c r="E2058" s="47" t="s">
        <v>61</v>
      </c>
      <c r="F2058" s="48" t="n">
        <v>24703.24</v>
      </c>
      <c r="G2058" s="47" t="s">
        <v>68</v>
      </c>
      <c r="H2058" s="47" t="s">
        <v>43</v>
      </c>
      <c r="I2058" s="47" t="s">
        <v>201</v>
      </c>
      <c r="J2058" s="47" t="s">
        <v>29</v>
      </c>
      <c r="K2058" s="47" t="s">
        <v>34</v>
      </c>
    </row>
    <row r="2059" customFormat="false" ht="15" hidden="false" customHeight="false" outlineLevel="0" collapsed="false">
      <c r="A2059" s="0" t="s">
        <v>3135</v>
      </c>
      <c r="B2059" s="0" t="s">
        <v>435</v>
      </c>
      <c r="D2059" s="46" t="n">
        <v>46178</v>
      </c>
      <c r="E2059" s="47" t="s">
        <v>60</v>
      </c>
      <c r="F2059" s="48" t="n">
        <v>60187.63</v>
      </c>
      <c r="G2059" s="47" t="s">
        <v>53</v>
      </c>
      <c r="H2059" s="47" t="s">
        <v>48</v>
      </c>
      <c r="I2059" s="47" t="s">
        <v>114</v>
      </c>
      <c r="J2059" s="47" t="s">
        <v>28</v>
      </c>
      <c r="K2059" s="47" t="s">
        <v>33</v>
      </c>
    </row>
    <row r="2060" customFormat="false" ht="15" hidden="false" customHeight="false" outlineLevel="0" collapsed="false">
      <c r="A2060" s="0" t="s">
        <v>3136</v>
      </c>
      <c r="B2060" s="0" t="s">
        <v>885</v>
      </c>
      <c r="D2060" s="46" t="n">
        <v>45819</v>
      </c>
      <c r="E2060" s="47" t="s">
        <v>53</v>
      </c>
      <c r="F2060" s="48" t="n">
        <v>192404.76</v>
      </c>
      <c r="G2060" s="47" t="s">
        <v>68</v>
      </c>
      <c r="H2060" s="47" t="s">
        <v>43</v>
      </c>
      <c r="I2060" s="47" t="s">
        <v>102</v>
      </c>
      <c r="J2060" s="47" t="s">
        <v>28</v>
      </c>
      <c r="K2060" s="47" t="s">
        <v>34</v>
      </c>
    </row>
    <row r="2061" customFormat="false" ht="15" hidden="false" customHeight="false" outlineLevel="0" collapsed="false">
      <c r="A2061" s="0" t="s">
        <v>3137</v>
      </c>
      <c r="B2061" s="0" t="s">
        <v>1045</v>
      </c>
      <c r="D2061" s="46" t="n">
        <v>45818</v>
      </c>
      <c r="E2061" s="47" t="s">
        <v>59</v>
      </c>
      <c r="F2061" s="48" t="n">
        <v>91742.06</v>
      </c>
      <c r="G2061" s="47" t="s">
        <v>68</v>
      </c>
      <c r="H2061" s="47" t="s">
        <v>41</v>
      </c>
      <c r="I2061" s="47" t="s">
        <v>293</v>
      </c>
      <c r="J2061" s="47" t="s">
        <v>28</v>
      </c>
      <c r="K2061" s="47" t="s">
        <v>33</v>
      </c>
    </row>
    <row r="2062" customFormat="false" ht="15" hidden="false" customHeight="false" outlineLevel="0" collapsed="false">
      <c r="A2062" s="0" t="s">
        <v>3138</v>
      </c>
      <c r="B2062" s="0" t="s">
        <v>3139</v>
      </c>
      <c r="D2062" s="46" t="n">
        <v>45982</v>
      </c>
      <c r="E2062" s="47" t="s">
        <v>59</v>
      </c>
      <c r="F2062" s="48" t="n">
        <v>69539.06</v>
      </c>
      <c r="G2062" s="47" t="s">
        <v>68</v>
      </c>
      <c r="H2062" s="47" t="s">
        <v>44</v>
      </c>
      <c r="I2062" s="47" t="s">
        <v>80</v>
      </c>
      <c r="J2062" s="47" t="s">
        <v>28</v>
      </c>
      <c r="K2062" s="47" t="s">
        <v>34</v>
      </c>
    </row>
    <row r="2063" customFormat="false" ht="15" hidden="false" customHeight="false" outlineLevel="0" collapsed="false">
      <c r="A2063" s="0" t="s">
        <v>3140</v>
      </c>
      <c r="B2063" s="0" t="s">
        <v>1406</v>
      </c>
      <c r="D2063" s="46" t="n">
        <v>45727</v>
      </c>
      <c r="E2063" s="47" t="s">
        <v>61</v>
      </c>
      <c r="F2063" s="48" t="n">
        <v>185975.08</v>
      </c>
      <c r="G2063" s="47" t="s">
        <v>68</v>
      </c>
      <c r="H2063" s="47" t="s">
        <v>40</v>
      </c>
      <c r="I2063" s="47" t="s">
        <v>89</v>
      </c>
      <c r="J2063" s="47" t="s">
        <v>28</v>
      </c>
      <c r="K2063" s="47" t="s">
        <v>33</v>
      </c>
    </row>
    <row r="2064" customFormat="false" ht="15" hidden="false" customHeight="false" outlineLevel="0" collapsed="false">
      <c r="A2064" s="0" t="s">
        <v>3141</v>
      </c>
      <c r="B2064" s="0" t="s">
        <v>1219</v>
      </c>
      <c r="D2064" s="46" t="n">
        <v>46219</v>
      </c>
      <c r="E2064" s="47" t="s">
        <v>62</v>
      </c>
      <c r="F2064" s="48" t="n">
        <v>24499.12</v>
      </c>
      <c r="G2064" s="47" t="s">
        <v>65</v>
      </c>
      <c r="H2064" s="47" t="s">
        <v>44</v>
      </c>
      <c r="I2064" s="47" t="s">
        <v>132</v>
      </c>
      <c r="J2064" s="47" t="s">
        <v>28</v>
      </c>
      <c r="K2064" s="47" t="s">
        <v>34</v>
      </c>
    </row>
    <row r="2065" customFormat="false" ht="15" hidden="false" customHeight="false" outlineLevel="0" collapsed="false">
      <c r="A2065" s="0" t="s">
        <v>3142</v>
      </c>
      <c r="B2065" s="0" t="s">
        <v>392</v>
      </c>
      <c r="D2065" s="46" t="n">
        <v>45869</v>
      </c>
      <c r="E2065" s="47" t="s">
        <v>55</v>
      </c>
      <c r="F2065" s="48" t="n">
        <v>173928.15</v>
      </c>
      <c r="G2065" s="47" t="s">
        <v>57</v>
      </c>
      <c r="H2065" s="47" t="s">
        <v>41</v>
      </c>
      <c r="I2065" s="47" t="s">
        <v>86</v>
      </c>
      <c r="J2065" s="47" t="s">
        <v>28</v>
      </c>
      <c r="K2065" s="47" t="s">
        <v>33</v>
      </c>
    </row>
    <row r="2066" customFormat="false" ht="15" hidden="false" customHeight="false" outlineLevel="0" collapsed="false">
      <c r="A2066" s="0" t="s">
        <v>3143</v>
      </c>
      <c r="B2066" s="0" t="s">
        <v>123</v>
      </c>
      <c r="C2066" s="0" t="s">
        <v>3144</v>
      </c>
      <c r="D2066" s="46" t="n">
        <v>46039</v>
      </c>
      <c r="E2066" s="47" t="s">
        <v>60</v>
      </c>
      <c r="F2066" s="48" t="n">
        <v>196952.36</v>
      </c>
      <c r="G2066" s="47" t="s">
        <v>57</v>
      </c>
      <c r="H2066" s="47" t="s">
        <v>39</v>
      </c>
      <c r="I2066" s="47" t="s">
        <v>98</v>
      </c>
      <c r="J2066" s="47" t="s">
        <v>28</v>
      </c>
      <c r="K2066" s="47" t="s">
        <v>33</v>
      </c>
    </row>
    <row r="2067" customFormat="false" ht="15" hidden="false" customHeight="false" outlineLevel="0" collapsed="false">
      <c r="A2067" s="0" t="s">
        <v>3145</v>
      </c>
      <c r="B2067" s="0" t="s">
        <v>1821</v>
      </c>
      <c r="D2067" s="46" t="n">
        <v>45958</v>
      </c>
      <c r="E2067" s="47" t="s">
        <v>62</v>
      </c>
      <c r="F2067" s="48" t="n">
        <v>173233.7</v>
      </c>
      <c r="G2067" s="47" t="s">
        <v>65</v>
      </c>
      <c r="H2067" s="47" t="s">
        <v>42</v>
      </c>
      <c r="I2067" s="47" t="s">
        <v>398</v>
      </c>
      <c r="J2067" s="47" t="s">
        <v>28</v>
      </c>
      <c r="K2067" s="47" t="s">
        <v>34</v>
      </c>
    </row>
    <row r="2068" customFormat="false" ht="15" hidden="false" customHeight="false" outlineLevel="0" collapsed="false">
      <c r="A2068" s="0" t="s">
        <v>3146</v>
      </c>
      <c r="B2068" s="0" t="s">
        <v>3147</v>
      </c>
      <c r="D2068" s="46" t="n">
        <v>46003</v>
      </c>
      <c r="E2068" s="47" t="s">
        <v>58</v>
      </c>
      <c r="F2068" s="48" t="n">
        <v>109340.75</v>
      </c>
      <c r="G2068" s="47" t="s">
        <v>68</v>
      </c>
      <c r="H2068" s="47" t="s">
        <v>47</v>
      </c>
      <c r="I2068" s="47" t="s">
        <v>166</v>
      </c>
      <c r="J2068" s="47" t="s">
        <v>28</v>
      </c>
      <c r="K2068" s="47" t="s">
        <v>33</v>
      </c>
    </row>
    <row r="2069" customFormat="false" ht="15" hidden="false" customHeight="false" outlineLevel="0" collapsed="false">
      <c r="A2069" s="0" t="s">
        <v>3148</v>
      </c>
      <c r="B2069" s="0" t="s">
        <v>2595</v>
      </c>
      <c r="C2069" s="0" t="s">
        <v>3149</v>
      </c>
      <c r="D2069" s="46" t="n">
        <v>45981</v>
      </c>
      <c r="E2069" s="47" t="s">
        <v>53</v>
      </c>
      <c r="F2069" s="48" t="n">
        <v>156822.95</v>
      </c>
      <c r="G2069" s="47" t="s">
        <v>57</v>
      </c>
      <c r="H2069" s="47" t="s">
        <v>39</v>
      </c>
      <c r="I2069" s="47" t="s">
        <v>98</v>
      </c>
      <c r="J2069" s="47" t="s">
        <v>28</v>
      </c>
      <c r="K2069" s="47" t="s">
        <v>33</v>
      </c>
    </row>
    <row r="2070" customFormat="false" ht="15" hidden="false" customHeight="false" outlineLevel="0" collapsed="false">
      <c r="A2070" s="0" t="s">
        <v>3150</v>
      </c>
      <c r="B2070" s="0" t="s">
        <v>3151</v>
      </c>
      <c r="D2070" s="46" t="n">
        <v>45942</v>
      </c>
      <c r="E2070" s="47" t="s">
        <v>58</v>
      </c>
      <c r="F2070" s="48" t="n">
        <v>176421.7</v>
      </c>
      <c r="G2070" s="47" t="s">
        <v>66</v>
      </c>
      <c r="H2070" s="47" t="s">
        <v>45</v>
      </c>
      <c r="I2070" s="47" t="s">
        <v>217</v>
      </c>
      <c r="J2070" s="47" t="s">
        <v>28</v>
      </c>
      <c r="K2070" s="47" t="s">
        <v>34</v>
      </c>
    </row>
    <row r="2071" customFormat="false" ht="15" hidden="false" customHeight="false" outlineLevel="0" collapsed="false">
      <c r="A2071" s="0" t="s">
        <v>3152</v>
      </c>
      <c r="B2071" s="0" t="s">
        <v>2148</v>
      </c>
      <c r="D2071" s="46" t="n">
        <v>45744</v>
      </c>
      <c r="E2071" s="47" t="s">
        <v>55</v>
      </c>
      <c r="F2071" s="48" t="n">
        <v>24994.32</v>
      </c>
      <c r="G2071" s="47" t="s">
        <v>57</v>
      </c>
      <c r="H2071" s="47" t="s">
        <v>41</v>
      </c>
      <c r="I2071" s="47" t="s">
        <v>272</v>
      </c>
      <c r="J2071" s="47" t="s">
        <v>28</v>
      </c>
      <c r="K2071" s="47" t="s">
        <v>33</v>
      </c>
    </row>
    <row r="2072" customFormat="false" ht="15" hidden="false" customHeight="false" outlineLevel="0" collapsed="false">
      <c r="A2072" s="0" t="s">
        <v>3153</v>
      </c>
      <c r="B2072" s="0" t="s">
        <v>200</v>
      </c>
      <c r="D2072" s="46" t="n">
        <v>45807</v>
      </c>
      <c r="E2072" s="47" t="s">
        <v>55</v>
      </c>
      <c r="F2072" s="48" t="n">
        <v>46411.71</v>
      </c>
      <c r="G2072" s="47" t="s">
        <v>65</v>
      </c>
      <c r="H2072" s="47" t="s">
        <v>43</v>
      </c>
      <c r="I2072" s="47" t="s">
        <v>201</v>
      </c>
      <c r="J2072" s="47" t="s">
        <v>28</v>
      </c>
      <c r="K2072" s="47" t="s">
        <v>34</v>
      </c>
    </row>
    <row r="2073" customFormat="false" ht="15" hidden="false" customHeight="false" outlineLevel="0" collapsed="false">
      <c r="A2073" s="0" t="s">
        <v>3154</v>
      </c>
      <c r="B2073" s="0" t="s">
        <v>1429</v>
      </c>
      <c r="D2073" s="46" t="n">
        <v>45729</v>
      </c>
      <c r="E2073" s="47" t="s">
        <v>59</v>
      </c>
      <c r="F2073" s="48" t="n">
        <v>66011.47</v>
      </c>
      <c r="G2073" s="47" t="s">
        <v>57</v>
      </c>
      <c r="H2073" s="47" t="s">
        <v>40</v>
      </c>
      <c r="I2073" s="47" t="s">
        <v>83</v>
      </c>
      <c r="J2073" s="47" t="s">
        <v>28</v>
      </c>
      <c r="K2073" s="47" t="s">
        <v>33</v>
      </c>
    </row>
    <row r="2074" customFormat="false" ht="15" hidden="false" customHeight="false" outlineLevel="0" collapsed="false">
      <c r="A2074" s="0" t="s">
        <v>3155</v>
      </c>
      <c r="B2074" s="0" t="s">
        <v>974</v>
      </c>
      <c r="D2074" s="46" t="n">
        <v>45824</v>
      </c>
      <c r="E2074" s="47" t="s">
        <v>59</v>
      </c>
      <c r="F2074" s="48" t="n">
        <v>137550.54</v>
      </c>
      <c r="G2074" s="47" t="s">
        <v>66</v>
      </c>
      <c r="H2074" s="47" t="s">
        <v>43</v>
      </c>
      <c r="I2074" s="47" t="s">
        <v>201</v>
      </c>
      <c r="J2074" s="47" t="s">
        <v>28</v>
      </c>
      <c r="K2074" s="47" t="s">
        <v>34</v>
      </c>
    </row>
    <row r="2075" customFormat="false" ht="15" hidden="false" customHeight="false" outlineLevel="0" collapsed="false">
      <c r="A2075" s="0" t="s">
        <v>3156</v>
      </c>
      <c r="B2075" s="0" t="s">
        <v>1408</v>
      </c>
      <c r="D2075" s="46" t="n">
        <v>45658</v>
      </c>
      <c r="E2075" s="47" t="s">
        <v>55</v>
      </c>
      <c r="F2075" s="48" t="n">
        <v>147696.98</v>
      </c>
      <c r="G2075" s="47" t="s">
        <v>53</v>
      </c>
      <c r="H2075" s="47" t="s">
        <v>46</v>
      </c>
      <c r="I2075" s="47" t="s">
        <v>242</v>
      </c>
      <c r="J2075" s="47" t="s">
        <v>29</v>
      </c>
      <c r="K2075" s="47" t="s">
        <v>34</v>
      </c>
    </row>
    <row r="2076" customFormat="false" ht="15" hidden="false" customHeight="false" outlineLevel="0" collapsed="false">
      <c r="A2076" s="0" t="s">
        <v>3157</v>
      </c>
      <c r="B2076" s="0" t="s">
        <v>1083</v>
      </c>
      <c r="D2076" s="46" t="n">
        <v>45811</v>
      </c>
      <c r="E2076" s="47" t="s">
        <v>53</v>
      </c>
      <c r="F2076" s="48" t="n">
        <v>46567.15</v>
      </c>
      <c r="G2076" s="47" t="s">
        <v>53</v>
      </c>
      <c r="H2076" s="47" t="s">
        <v>46</v>
      </c>
      <c r="I2076" s="47" t="s">
        <v>148</v>
      </c>
      <c r="J2076" s="47" t="s">
        <v>29</v>
      </c>
      <c r="K2076" s="47" t="s">
        <v>33</v>
      </c>
    </row>
    <row r="2077" customFormat="false" ht="15" hidden="false" customHeight="false" outlineLevel="0" collapsed="false">
      <c r="A2077" s="0" t="s">
        <v>3158</v>
      </c>
      <c r="B2077" s="0" t="s">
        <v>183</v>
      </c>
      <c r="D2077" s="46" t="n">
        <v>45705</v>
      </c>
      <c r="E2077" s="47" t="s">
        <v>60</v>
      </c>
      <c r="F2077" s="48" t="n">
        <v>154284.81</v>
      </c>
      <c r="G2077" s="47" t="s">
        <v>66</v>
      </c>
      <c r="H2077" s="47" t="s">
        <v>42</v>
      </c>
      <c r="I2077" s="47" t="s">
        <v>105</v>
      </c>
      <c r="J2077" s="47" t="s">
        <v>28</v>
      </c>
      <c r="K2077" s="47" t="s">
        <v>33</v>
      </c>
    </row>
    <row r="2078" customFormat="false" ht="15" hidden="false" customHeight="false" outlineLevel="0" collapsed="false">
      <c r="A2078" s="0" t="s">
        <v>3159</v>
      </c>
      <c r="B2078" s="0" t="s">
        <v>1340</v>
      </c>
      <c r="D2078" s="46" t="n">
        <v>46066</v>
      </c>
      <c r="E2078" s="47" t="s">
        <v>53</v>
      </c>
      <c r="F2078" s="48" t="n">
        <v>10989.68</v>
      </c>
      <c r="G2078" s="47" t="s">
        <v>68</v>
      </c>
      <c r="H2078" s="47" t="s">
        <v>39</v>
      </c>
      <c r="I2078" s="47" t="s">
        <v>98</v>
      </c>
      <c r="J2078" s="47" t="s">
        <v>28</v>
      </c>
      <c r="K2078" s="47" t="s">
        <v>33</v>
      </c>
    </row>
    <row r="2079" customFormat="false" ht="15" hidden="false" customHeight="false" outlineLevel="0" collapsed="false">
      <c r="A2079" s="0" t="s">
        <v>3160</v>
      </c>
      <c r="B2079" s="0" t="s">
        <v>1677</v>
      </c>
      <c r="D2079" s="46" t="n">
        <v>46148</v>
      </c>
      <c r="E2079" s="47" t="s">
        <v>53</v>
      </c>
      <c r="F2079" s="48" t="n">
        <v>191312.09</v>
      </c>
      <c r="G2079" s="47" t="s">
        <v>66</v>
      </c>
      <c r="H2079" s="47" t="s">
        <v>43</v>
      </c>
      <c r="I2079" s="47" t="s">
        <v>102</v>
      </c>
      <c r="J2079" s="47" t="s">
        <v>28</v>
      </c>
      <c r="K2079" s="47" t="s">
        <v>34</v>
      </c>
    </row>
    <row r="2080" customFormat="false" ht="15" hidden="false" customHeight="false" outlineLevel="0" collapsed="false">
      <c r="A2080" s="0" t="s">
        <v>3161</v>
      </c>
      <c r="B2080" s="0" t="s">
        <v>958</v>
      </c>
      <c r="C2080" s="0" t="s">
        <v>3162</v>
      </c>
      <c r="D2080" s="46" t="n">
        <v>46010</v>
      </c>
      <c r="E2080" s="47" t="s">
        <v>60</v>
      </c>
      <c r="F2080" s="48" t="n">
        <v>10829.53</v>
      </c>
      <c r="G2080" s="47" t="s">
        <v>66</v>
      </c>
      <c r="H2080" s="47" t="s">
        <v>39</v>
      </c>
      <c r="I2080" s="47" t="s">
        <v>177</v>
      </c>
      <c r="J2080" s="47" t="s">
        <v>28</v>
      </c>
      <c r="K2080" s="47" t="s">
        <v>33</v>
      </c>
    </row>
    <row r="2081" customFormat="false" ht="15" hidden="false" customHeight="false" outlineLevel="0" collapsed="false">
      <c r="A2081" s="0" t="s">
        <v>3163</v>
      </c>
      <c r="B2081" s="0" t="s">
        <v>1134</v>
      </c>
      <c r="D2081" s="46" t="n">
        <v>45698</v>
      </c>
      <c r="E2081" s="47" t="s">
        <v>59</v>
      </c>
      <c r="F2081" s="48" t="n">
        <v>197198.78</v>
      </c>
      <c r="G2081" s="47" t="s">
        <v>66</v>
      </c>
      <c r="H2081" s="47" t="s">
        <v>48</v>
      </c>
      <c r="I2081" s="47" t="s">
        <v>114</v>
      </c>
      <c r="J2081" s="47" t="s">
        <v>28</v>
      </c>
      <c r="K2081" s="47" t="s">
        <v>33</v>
      </c>
    </row>
    <row r="2082" customFormat="false" ht="15" hidden="false" customHeight="false" outlineLevel="0" collapsed="false">
      <c r="A2082" s="0" t="s">
        <v>3164</v>
      </c>
      <c r="B2082" s="0" t="s">
        <v>1072</v>
      </c>
      <c r="C2082" s="0" t="s">
        <v>3165</v>
      </c>
      <c r="D2082" s="46" t="n">
        <v>46153</v>
      </c>
      <c r="E2082" s="47" t="s">
        <v>62</v>
      </c>
      <c r="F2082" s="48" t="n">
        <v>197223.8</v>
      </c>
      <c r="G2082" s="47" t="s">
        <v>53</v>
      </c>
      <c r="H2082" s="47" t="s">
        <v>45</v>
      </c>
      <c r="I2082" s="47" t="s">
        <v>217</v>
      </c>
      <c r="J2082" s="47" t="s">
        <v>28</v>
      </c>
      <c r="K2082" s="47" t="s">
        <v>34</v>
      </c>
    </row>
    <row r="2083" customFormat="false" ht="15" hidden="false" customHeight="false" outlineLevel="0" collapsed="false">
      <c r="A2083" s="0" t="s">
        <v>3166</v>
      </c>
      <c r="B2083" s="0" t="s">
        <v>894</v>
      </c>
      <c r="D2083" s="46" t="n">
        <v>46220</v>
      </c>
      <c r="E2083" s="47" t="s">
        <v>61</v>
      </c>
      <c r="F2083" s="48" t="n">
        <v>61989.33</v>
      </c>
      <c r="G2083" s="47" t="s">
        <v>66</v>
      </c>
      <c r="H2083" s="47" t="s">
        <v>45</v>
      </c>
      <c r="I2083" s="47" t="s">
        <v>217</v>
      </c>
      <c r="J2083" s="47" t="s">
        <v>28</v>
      </c>
      <c r="K2083" s="47" t="s">
        <v>34</v>
      </c>
    </row>
    <row r="2084" customFormat="false" ht="15" hidden="false" customHeight="false" outlineLevel="0" collapsed="false">
      <c r="A2084" s="0" t="s">
        <v>3167</v>
      </c>
      <c r="B2084" s="0" t="s">
        <v>97</v>
      </c>
      <c r="D2084" s="46" t="n">
        <v>46284</v>
      </c>
      <c r="E2084" s="47" t="s">
        <v>60</v>
      </c>
      <c r="F2084" s="48" t="n">
        <v>49878.67</v>
      </c>
      <c r="G2084" s="47" t="s">
        <v>68</v>
      </c>
      <c r="H2084" s="47" t="s">
        <v>39</v>
      </c>
      <c r="I2084" s="47" t="s">
        <v>98</v>
      </c>
      <c r="J2084" s="47" t="s">
        <v>28</v>
      </c>
      <c r="K2084" s="47" t="s">
        <v>33</v>
      </c>
    </row>
    <row r="2085" customFormat="false" ht="15" hidden="false" customHeight="false" outlineLevel="0" collapsed="false">
      <c r="A2085" s="0" t="s">
        <v>3168</v>
      </c>
      <c r="B2085" s="0" t="s">
        <v>354</v>
      </c>
      <c r="C2085" s="0" t="s">
        <v>3169</v>
      </c>
      <c r="D2085" s="46" t="n">
        <v>46094</v>
      </c>
      <c r="E2085" s="47" t="s">
        <v>62</v>
      </c>
      <c r="F2085" s="48" t="n">
        <v>122275.11</v>
      </c>
      <c r="G2085" s="47" t="s">
        <v>66</v>
      </c>
      <c r="H2085" s="47" t="s">
        <v>40</v>
      </c>
      <c r="I2085" s="47" t="s">
        <v>89</v>
      </c>
      <c r="J2085" s="47" t="s">
        <v>28</v>
      </c>
      <c r="K2085" s="47" t="s">
        <v>34</v>
      </c>
    </row>
    <row r="2086" customFormat="false" ht="15" hidden="false" customHeight="false" outlineLevel="0" collapsed="false">
      <c r="A2086" s="0" t="s">
        <v>3170</v>
      </c>
      <c r="B2086" s="0" t="s">
        <v>1670</v>
      </c>
      <c r="D2086" s="46" t="n">
        <v>46220</v>
      </c>
      <c r="E2086" s="47" t="s">
        <v>62</v>
      </c>
      <c r="F2086" s="48" t="n">
        <v>63347.49</v>
      </c>
      <c r="G2086" s="47" t="s">
        <v>65</v>
      </c>
      <c r="H2086" s="47" t="s">
        <v>42</v>
      </c>
      <c r="I2086" s="47" t="s">
        <v>137</v>
      </c>
      <c r="J2086" s="47" t="s">
        <v>28</v>
      </c>
      <c r="K2086" s="47" t="s">
        <v>33</v>
      </c>
    </row>
    <row r="2087" customFormat="false" ht="15" hidden="false" customHeight="false" outlineLevel="0" collapsed="false">
      <c r="A2087" s="0" t="s">
        <v>3171</v>
      </c>
      <c r="B2087" s="0" t="s">
        <v>2252</v>
      </c>
      <c r="D2087" s="46" t="n">
        <v>46153</v>
      </c>
      <c r="E2087" s="47" t="s">
        <v>58</v>
      </c>
      <c r="F2087" s="48" t="n">
        <v>22612.42</v>
      </c>
      <c r="G2087" s="47" t="s">
        <v>65</v>
      </c>
      <c r="H2087" s="47" t="s">
        <v>43</v>
      </c>
      <c r="I2087" s="47" t="s">
        <v>117</v>
      </c>
      <c r="J2087" s="47" t="s">
        <v>28</v>
      </c>
      <c r="K2087" s="47" t="s">
        <v>34</v>
      </c>
    </row>
    <row r="2088" customFormat="false" ht="15" hidden="false" customHeight="false" outlineLevel="0" collapsed="false">
      <c r="A2088" s="0" t="s">
        <v>3172</v>
      </c>
      <c r="B2088" s="0" t="s">
        <v>961</v>
      </c>
      <c r="C2088" s="0" t="s">
        <v>3173</v>
      </c>
      <c r="D2088" s="46" t="n">
        <v>45671</v>
      </c>
      <c r="E2088" s="47" t="s">
        <v>62</v>
      </c>
      <c r="F2088" s="48" t="n">
        <v>155517.34</v>
      </c>
      <c r="G2088" s="47" t="s">
        <v>68</v>
      </c>
      <c r="H2088" s="47" t="s">
        <v>42</v>
      </c>
      <c r="I2088" s="47" t="s">
        <v>398</v>
      </c>
      <c r="J2088" s="47" t="s">
        <v>28</v>
      </c>
      <c r="K2088" s="47" t="s">
        <v>34</v>
      </c>
    </row>
    <row r="2089" customFormat="false" ht="15" hidden="false" customHeight="false" outlineLevel="0" collapsed="false">
      <c r="A2089" s="0" t="s">
        <v>3174</v>
      </c>
      <c r="B2089" s="0" t="s">
        <v>1979</v>
      </c>
      <c r="D2089" s="46" t="n">
        <v>45730</v>
      </c>
      <c r="E2089" s="47" t="s">
        <v>61</v>
      </c>
      <c r="F2089" s="48" t="n">
        <v>50266.38</v>
      </c>
      <c r="G2089" s="47" t="s">
        <v>68</v>
      </c>
      <c r="H2089" s="47" t="s">
        <v>48</v>
      </c>
      <c r="I2089" s="47" t="s">
        <v>111</v>
      </c>
      <c r="J2089" s="47" t="s">
        <v>28</v>
      </c>
      <c r="K2089" s="47" t="s">
        <v>33</v>
      </c>
    </row>
    <row r="2090" customFormat="false" ht="15" hidden="false" customHeight="false" outlineLevel="0" collapsed="false">
      <c r="A2090" s="0" t="s">
        <v>3175</v>
      </c>
      <c r="B2090" s="0" t="s">
        <v>2775</v>
      </c>
      <c r="D2090" s="46" t="n">
        <v>46197</v>
      </c>
      <c r="E2090" s="47" t="s">
        <v>55</v>
      </c>
      <c r="F2090" s="48" t="n">
        <v>142752.6</v>
      </c>
      <c r="G2090" s="47" t="s">
        <v>68</v>
      </c>
      <c r="H2090" s="47" t="s">
        <v>41</v>
      </c>
      <c r="I2090" s="47" t="s">
        <v>272</v>
      </c>
      <c r="J2090" s="47" t="s">
        <v>28</v>
      </c>
      <c r="K2090" s="47" t="s">
        <v>33</v>
      </c>
    </row>
    <row r="2091" customFormat="false" ht="15" hidden="false" customHeight="false" outlineLevel="0" collapsed="false">
      <c r="A2091" s="0" t="s">
        <v>3176</v>
      </c>
      <c r="B2091" s="0" t="s">
        <v>1435</v>
      </c>
      <c r="D2091" s="46" t="n">
        <v>46130</v>
      </c>
      <c r="E2091" s="47" t="s">
        <v>61</v>
      </c>
      <c r="F2091" s="48" t="n">
        <v>48487.01</v>
      </c>
      <c r="G2091" s="47" t="s">
        <v>65</v>
      </c>
      <c r="H2091" s="47" t="s">
        <v>39</v>
      </c>
      <c r="I2091" s="47" t="s">
        <v>145</v>
      </c>
      <c r="J2091" s="47" t="s">
        <v>28</v>
      </c>
      <c r="K2091" s="47" t="s">
        <v>34</v>
      </c>
    </row>
    <row r="2092" customFormat="false" ht="15" hidden="false" customHeight="false" outlineLevel="0" collapsed="false">
      <c r="A2092" s="0" t="s">
        <v>3177</v>
      </c>
      <c r="B2092" s="0" t="s">
        <v>749</v>
      </c>
      <c r="D2092" s="46" t="n">
        <v>45744</v>
      </c>
      <c r="E2092" s="47" t="s">
        <v>55</v>
      </c>
      <c r="F2092" s="48" t="n">
        <v>128219.2</v>
      </c>
      <c r="G2092" s="47" t="s">
        <v>65</v>
      </c>
      <c r="H2092" s="47" t="s">
        <v>47</v>
      </c>
      <c r="I2092" s="47" t="s">
        <v>166</v>
      </c>
      <c r="J2092" s="47" t="s">
        <v>28</v>
      </c>
      <c r="K2092" s="47" t="s">
        <v>33</v>
      </c>
    </row>
    <row r="2093" customFormat="false" ht="15" hidden="false" customHeight="false" outlineLevel="0" collapsed="false">
      <c r="A2093" s="0" t="s">
        <v>3178</v>
      </c>
      <c r="B2093" s="0" t="s">
        <v>509</v>
      </c>
      <c r="D2093" s="46" t="n">
        <v>45688</v>
      </c>
      <c r="E2093" s="47" t="s">
        <v>61</v>
      </c>
      <c r="F2093" s="48" t="n">
        <v>10975.93</v>
      </c>
      <c r="G2093" s="47" t="s">
        <v>65</v>
      </c>
      <c r="H2093" s="47" t="s">
        <v>46</v>
      </c>
      <c r="I2093" s="47" t="s">
        <v>121</v>
      </c>
      <c r="J2093" s="47" t="s">
        <v>28</v>
      </c>
      <c r="K2093" s="47" t="s">
        <v>34</v>
      </c>
    </row>
    <row r="2094" customFormat="false" ht="15" hidden="false" customHeight="false" outlineLevel="0" collapsed="false">
      <c r="A2094" s="0" t="s">
        <v>3179</v>
      </c>
      <c r="B2094" s="0" t="s">
        <v>1898</v>
      </c>
      <c r="D2094" s="46" t="n">
        <v>45865</v>
      </c>
      <c r="E2094" s="47" t="s">
        <v>53</v>
      </c>
      <c r="F2094" s="48" t="n">
        <v>154652.73</v>
      </c>
      <c r="G2094" s="47" t="s">
        <v>57</v>
      </c>
      <c r="H2094" s="47" t="s">
        <v>43</v>
      </c>
      <c r="I2094" s="47" t="s">
        <v>201</v>
      </c>
      <c r="J2094" s="47" t="s">
        <v>28</v>
      </c>
      <c r="K2094" s="47" t="s">
        <v>34</v>
      </c>
    </row>
    <row r="2095" customFormat="false" ht="15" hidden="false" customHeight="false" outlineLevel="0" collapsed="false">
      <c r="A2095" s="0" t="s">
        <v>3180</v>
      </c>
      <c r="B2095" s="0" t="s">
        <v>3181</v>
      </c>
      <c r="D2095" s="46" t="n">
        <v>45776</v>
      </c>
      <c r="E2095" s="47" t="s">
        <v>53</v>
      </c>
      <c r="F2095" s="48" t="n">
        <v>15539.41</v>
      </c>
      <c r="G2095" s="47" t="s">
        <v>66</v>
      </c>
      <c r="H2095" s="47" t="s">
        <v>43</v>
      </c>
      <c r="I2095" s="47" t="s">
        <v>102</v>
      </c>
      <c r="J2095" s="47" t="s">
        <v>28</v>
      </c>
      <c r="K2095" s="47" t="s">
        <v>34</v>
      </c>
    </row>
    <row r="2096" customFormat="false" ht="15" hidden="false" customHeight="false" outlineLevel="0" collapsed="false">
      <c r="A2096" s="0" t="s">
        <v>3182</v>
      </c>
      <c r="B2096" s="0" t="s">
        <v>1522</v>
      </c>
      <c r="D2096" s="46" t="n">
        <v>45862</v>
      </c>
      <c r="E2096" s="47" t="s">
        <v>58</v>
      </c>
      <c r="F2096" s="48" t="n">
        <v>23730.07</v>
      </c>
      <c r="G2096" s="47" t="s">
        <v>65</v>
      </c>
      <c r="H2096" s="47" t="s">
        <v>43</v>
      </c>
      <c r="I2096" s="47" t="s">
        <v>201</v>
      </c>
      <c r="J2096" s="47" t="s">
        <v>28</v>
      </c>
      <c r="K2096" s="47" t="s">
        <v>34</v>
      </c>
    </row>
    <row r="2097" customFormat="false" ht="15" hidden="false" customHeight="false" outlineLevel="0" collapsed="false">
      <c r="A2097" s="0" t="s">
        <v>3183</v>
      </c>
      <c r="B2097" s="0" t="s">
        <v>1077</v>
      </c>
      <c r="D2097" s="46" t="n">
        <v>46071</v>
      </c>
      <c r="E2097" s="47" t="s">
        <v>59</v>
      </c>
      <c r="F2097" s="48" t="n">
        <v>38451.22</v>
      </c>
      <c r="G2097" s="47" t="s">
        <v>65</v>
      </c>
      <c r="H2097" s="47" t="s">
        <v>40</v>
      </c>
      <c r="I2097" s="47" t="s">
        <v>253</v>
      </c>
      <c r="J2097" s="47" t="s">
        <v>28</v>
      </c>
      <c r="K2097" s="47" t="s">
        <v>33</v>
      </c>
    </row>
    <row r="2098" customFormat="false" ht="15" hidden="false" customHeight="false" outlineLevel="0" collapsed="false">
      <c r="A2098" s="0" t="s">
        <v>3184</v>
      </c>
      <c r="B2098" s="0" t="s">
        <v>3185</v>
      </c>
      <c r="D2098" s="46" t="n">
        <v>45731</v>
      </c>
      <c r="E2098" s="47" t="s">
        <v>55</v>
      </c>
      <c r="F2098" s="48" t="n">
        <v>188174.56</v>
      </c>
      <c r="G2098" s="47" t="s">
        <v>68</v>
      </c>
      <c r="H2098" s="47" t="s">
        <v>41</v>
      </c>
      <c r="I2098" s="47" t="s">
        <v>272</v>
      </c>
      <c r="J2098" s="47" t="s">
        <v>28</v>
      </c>
      <c r="K2098" s="47" t="s">
        <v>33</v>
      </c>
    </row>
    <row r="2099" customFormat="false" ht="15" hidden="false" customHeight="false" outlineLevel="0" collapsed="false">
      <c r="A2099" s="0" t="s">
        <v>3186</v>
      </c>
      <c r="B2099" s="0" t="s">
        <v>894</v>
      </c>
      <c r="D2099" s="46" t="n">
        <v>45669</v>
      </c>
      <c r="E2099" s="47" t="s">
        <v>53</v>
      </c>
      <c r="F2099" s="48" t="n">
        <v>108953.46</v>
      </c>
      <c r="G2099" s="47" t="s">
        <v>66</v>
      </c>
      <c r="H2099" s="47" t="s">
        <v>45</v>
      </c>
      <c r="I2099" s="47" t="s">
        <v>217</v>
      </c>
      <c r="J2099" s="47" t="s">
        <v>28</v>
      </c>
      <c r="K2099" s="47" t="s">
        <v>33</v>
      </c>
    </row>
    <row r="2100" customFormat="false" ht="15" hidden="false" customHeight="false" outlineLevel="0" collapsed="false">
      <c r="A2100" s="0" t="s">
        <v>3187</v>
      </c>
      <c r="B2100" s="0" t="s">
        <v>473</v>
      </c>
      <c r="D2100" s="46" t="n">
        <v>46215</v>
      </c>
      <c r="E2100" s="47" t="s">
        <v>60</v>
      </c>
      <c r="F2100" s="48" t="n">
        <v>108091.48</v>
      </c>
      <c r="G2100" s="47" t="s">
        <v>65</v>
      </c>
      <c r="H2100" s="47" t="s">
        <v>41</v>
      </c>
      <c r="I2100" s="47" t="s">
        <v>272</v>
      </c>
      <c r="J2100" s="47" t="s">
        <v>29</v>
      </c>
      <c r="K2100" s="47" t="s">
        <v>33</v>
      </c>
    </row>
    <row r="2101" customFormat="false" ht="15" hidden="false" customHeight="false" outlineLevel="0" collapsed="false">
      <c r="A2101" s="0" t="s">
        <v>3188</v>
      </c>
      <c r="B2101" s="0" t="s">
        <v>804</v>
      </c>
      <c r="D2101" s="46" t="n">
        <v>45729</v>
      </c>
      <c r="E2101" s="47" t="s">
        <v>55</v>
      </c>
      <c r="F2101" s="48" t="n">
        <v>3084.42</v>
      </c>
      <c r="G2101" s="47" t="s">
        <v>68</v>
      </c>
      <c r="H2101" s="47" t="s">
        <v>40</v>
      </c>
      <c r="I2101" s="47" t="s">
        <v>83</v>
      </c>
      <c r="J2101" s="47" t="s">
        <v>28</v>
      </c>
      <c r="K2101" s="47" t="s">
        <v>33</v>
      </c>
    </row>
    <row r="2102" customFormat="false" ht="15" hidden="false" customHeight="false" outlineLevel="0" collapsed="false">
      <c r="A2102" s="0" t="s">
        <v>3189</v>
      </c>
      <c r="B2102" s="0" t="s">
        <v>1785</v>
      </c>
      <c r="D2102" s="46" t="n">
        <v>46180</v>
      </c>
      <c r="E2102" s="47" t="s">
        <v>60</v>
      </c>
      <c r="F2102" s="48" t="n">
        <v>39480.05</v>
      </c>
      <c r="G2102" s="47" t="s">
        <v>65</v>
      </c>
      <c r="H2102" s="47" t="s">
        <v>43</v>
      </c>
      <c r="I2102" s="47" t="s">
        <v>201</v>
      </c>
      <c r="J2102" s="47" t="s">
        <v>28</v>
      </c>
      <c r="K2102" s="47" t="s">
        <v>33</v>
      </c>
    </row>
    <row r="2103" customFormat="false" ht="15" hidden="false" customHeight="false" outlineLevel="0" collapsed="false">
      <c r="A2103" s="0" t="s">
        <v>3190</v>
      </c>
      <c r="B2103" s="0" t="s">
        <v>1106</v>
      </c>
      <c r="D2103" s="46" t="n">
        <v>46032</v>
      </c>
      <c r="E2103" s="47" t="s">
        <v>62</v>
      </c>
      <c r="F2103" s="48" t="n">
        <v>85405.76</v>
      </c>
      <c r="G2103" s="47" t="s">
        <v>57</v>
      </c>
      <c r="H2103" s="47" t="s">
        <v>43</v>
      </c>
      <c r="I2103" s="47" t="s">
        <v>117</v>
      </c>
      <c r="J2103" s="47" t="s">
        <v>28</v>
      </c>
      <c r="K2103" s="47" t="s">
        <v>34</v>
      </c>
    </row>
    <row r="2104" customFormat="false" ht="15" hidden="false" customHeight="false" outlineLevel="0" collapsed="false">
      <c r="A2104" s="0" t="s">
        <v>3191</v>
      </c>
      <c r="B2104" s="0" t="s">
        <v>1670</v>
      </c>
      <c r="D2104" s="46" t="n">
        <v>45987</v>
      </c>
      <c r="E2104" s="47" t="s">
        <v>58</v>
      </c>
      <c r="F2104" s="48" t="n">
        <v>187057.69</v>
      </c>
      <c r="G2104" s="47" t="s">
        <v>65</v>
      </c>
      <c r="H2104" s="47" t="s">
        <v>42</v>
      </c>
      <c r="I2104" s="47" t="s">
        <v>137</v>
      </c>
      <c r="J2104" s="47" t="s">
        <v>28</v>
      </c>
      <c r="K2104" s="47" t="s">
        <v>34</v>
      </c>
    </row>
    <row r="2105" customFormat="false" ht="15" hidden="false" customHeight="false" outlineLevel="0" collapsed="false">
      <c r="A2105" s="0" t="s">
        <v>3192</v>
      </c>
      <c r="B2105" s="0" t="s">
        <v>885</v>
      </c>
      <c r="D2105" s="46" t="n">
        <v>46014</v>
      </c>
      <c r="E2105" s="47" t="s">
        <v>61</v>
      </c>
      <c r="F2105" s="48" t="n">
        <v>140814.25</v>
      </c>
      <c r="G2105" s="47" t="s">
        <v>65</v>
      </c>
      <c r="H2105" s="47" t="s">
        <v>43</v>
      </c>
      <c r="I2105" s="47" t="s">
        <v>102</v>
      </c>
      <c r="J2105" s="47" t="s">
        <v>28</v>
      </c>
      <c r="K2105" s="47" t="s">
        <v>33</v>
      </c>
    </row>
    <row r="2106" customFormat="false" ht="15" hidden="false" customHeight="false" outlineLevel="0" collapsed="false">
      <c r="A2106" s="0" t="s">
        <v>3193</v>
      </c>
      <c r="B2106" s="0" t="s">
        <v>2262</v>
      </c>
      <c r="D2106" s="46" t="n">
        <v>45904</v>
      </c>
      <c r="E2106" s="47" t="s">
        <v>60</v>
      </c>
      <c r="F2106" s="48" t="n">
        <v>46877.81</v>
      </c>
      <c r="G2106" s="47" t="s">
        <v>53</v>
      </c>
      <c r="H2106" s="47" t="s">
        <v>48</v>
      </c>
      <c r="I2106" s="47" t="s">
        <v>111</v>
      </c>
      <c r="J2106" s="47" t="s">
        <v>28</v>
      </c>
      <c r="K2106" s="47" t="s">
        <v>33</v>
      </c>
    </row>
    <row r="2107" customFormat="false" ht="15" hidden="false" customHeight="false" outlineLevel="0" collapsed="false">
      <c r="A2107" s="0" t="s">
        <v>3194</v>
      </c>
      <c r="B2107" s="0" t="s">
        <v>1631</v>
      </c>
      <c r="D2107" s="46" t="n">
        <v>45870</v>
      </c>
      <c r="E2107" s="47" t="s">
        <v>61</v>
      </c>
      <c r="F2107" s="48" t="n">
        <v>99417.49</v>
      </c>
      <c r="G2107" s="47" t="s">
        <v>68</v>
      </c>
      <c r="H2107" s="47" t="s">
        <v>44</v>
      </c>
      <c r="I2107" s="47" t="s">
        <v>132</v>
      </c>
      <c r="J2107" s="47" t="s">
        <v>28</v>
      </c>
      <c r="K2107" s="47" t="s">
        <v>33</v>
      </c>
    </row>
    <row r="2108" customFormat="false" ht="15" hidden="false" customHeight="false" outlineLevel="0" collapsed="false">
      <c r="A2108" s="0" t="s">
        <v>3195</v>
      </c>
      <c r="B2108" s="0" t="s">
        <v>417</v>
      </c>
      <c r="D2108" s="46" t="n">
        <v>45733</v>
      </c>
      <c r="E2108" s="47" t="s">
        <v>60</v>
      </c>
      <c r="F2108" s="48" t="n">
        <v>21740.7</v>
      </c>
      <c r="G2108" s="47" t="s">
        <v>53</v>
      </c>
      <c r="H2108" s="47" t="s">
        <v>39</v>
      </c>
      <c r="I2108" s="47" t="s">
        <v>145</v>
      </c>
      <c r="J2108" s="47" t="s">
        <v>28</v>
      </c>
      <c r="K2108" s="47" t="s">
        <v>33</v>
      </c>
    </row>
    <row r="2109" customFormat="false" ht="15" hidden="false" customHeight="false" outlineLevel="0" collapsed="false">
      <c r="A2109" s="0" t="s">
        <v>3196</v>
      </c>
      <c r="B2109" s="0" t="s">
        <v>2118</v>
      </c>
      <c r="D2109" s="46" t="n">
        <v>46073</v>
      </c>
      <c r="E2109" s="47" t="s">
        <v>61</v>
      </c>
      <c r="F2109" s="48" t="n">
        <v>147748.37</v>
      </c>
      <c r="G2109" s="47" t="s">
        <v>66</v>
      </c>
      <c r="H2109" s="47" t="s">
        <v>47</v>
      </c>
      <c r="I2109" s="47" t="s">
        <v>166</v>
      </c>
      <c r="J2109" s="47" t="s">
        <v>28</v>
      </c>
      <c r="K2109" s="47" t="s">
        <v>34</v>
      </c>
    </row>
    <row r="2110" customFormat="false" ht="15" hidden="false" customHeight="false" outlineLevel="0" collapsed="false">
      <c r="A2110" s="0" t="s">
        <v>3197</v>
      </c>
      <c r="B2110" s="0" t="s">
        <v>2099</v>
      </c>
      <c r="D2110" s="46" t="n">
        <v>45815</v>
      </c>
      <c r="E2110" s="47" t="s">
        <v>61</v>
      </c>
      <c r="F2110" s="48" t="n">
        <v>57526.43</v>
      </c>
      <c r="G2110" s="47" t="s">
        <v>68</v>
      </c>
      <c r="H2110" s="47" t="s">
        <v>44</v>
      </c>
      <c r="I2110" s="47" t="s">
        <v>132</v>
      </c>
      <c r="J2110" s="47" t="s">
        <v>28</v>
      </c>
      <c r="K2110" s="47" t="s">
        <v>34</v>
      </c>
    </row>
    <row r="2111" customFormat="false" ht="15" hidden="false" customHeight="false" outlineLevel="0" collapsed="false">
      <c r="A2111" s="0" t="s">
        <v>3198</v>
      </c>
      <c r="B2111" s="0" t="s">
        <v>2897</v>
      </c>
      <c r="D2111" s="46" t="n">
        <v>45719</v>
      </c>
      <c r="E2111" s="47" t="s">
        <v>61</v>
      </c>
      <c r="F2111" s="48" t="n">
        <v>182229.23</v>
      </c>
      <c r="G2111" s="47" t="s">
        <v>65</v>
      </c>
      <c r="H2111" s="47" t="s">
        <v>40</v>
      </c>
      <c r="I2111" s="47" t="s">
        <v>83</v>
      </c>
      <c r="J2111" s="47" t="s">
        <v>28</v>
      </c>
      <c r="K2111" s="47" t="s">
        <v>34</v>
      </c>
    </row>
    <row r="2112" customFormat="false" ht="15" hidden="false" customHeight="false" outlineLevel="0" collapsed="false">
      <c r="A2112" s="0" t="s">
        <v>3199</v>
      </c>
      <c r="B2112" s="0" t="s">
        <v>478</v>
      </c>
      <c r="D2112" s="46" t="n">
        <v>46131</v>
      </c>
      <c r="E2112" s="47" t="s">
        <v>61</v>
      </c>
      <c r="F2112" s="48" t="n">
        <v>121003.99</v>
      </c>
      <c r="G2112" s="47" t="s">
        <v>57</v>
      </c>
      <c r="H2112" s="47" t="s">
        <v>48</v>
      </c>
      <c r="I2112" s="47" t="s">
        <v>114</v>
      </c>
      <c r="J2112" s="47" t="s">
        <v>28</v>
      </c>
      <c r="K2112" s="47" t="s">
        <v>33</v>
      </c>
    </row>
    <row r="2113" customFormat="false" ht="15" hidden="false" customHeight="false" outlineLevel="0" collapsed="false">
      <c r="A2113" s="0" t="s">
        <v>3200</v>
      </c>
      <c r="B2113" s="0" t="s">
        <v>1045</v>
      </c>
      <c r="C2113" s="0" t="s">
        <v>1046</v>
      </c>
      <c r="D2113" s="46" t="n">
        <v>46286</v>
      </c>
      <c r="E2113" s="47" t="s">
        <v>61</v>
      </c>
      <c r="F2113" s="48" t="n">
        <v>45827.97</v>
      </c>
      <c r="G2113" s="47" t="s">
        <v>57</v>
      </c>
      <c r="H2113" s="47" t="s">
        <v>41</v>
      </c>
      <c r="I2113" s="47" t="s">
        <v>293</v>
      </c>
      <c r="J2113" s="47" t="s">
        <v>28</v>
      </c>
      <c r="K2113" s="47" t="s">
        <v>33</v>
      </c>
    </row>
    <row r="2114" customFormat="false" ht="15" hidden="false" customHeight="false" outlineLevel="0" collapsed="false">
      <c r="A2114" s="0" t="s">
        <v>3201</v>
      </c>
      <c r="B2114" s="0" t="s">
        <v>619</v>
      </c>
      <c r="D2114" s="46" t="n">
        <v>45898</v>
      </c>
      <c r="E2114" s="47" t="s">
        <v>58</v>
      </c>
      <c r="F2114" s="48" t="n">
        <v>24911.09</v>
      </c>
      <c r="G2114" s="47" t="s">
        <v>53</v>
      </c>
      <c r="H2114" s="47" t="s">
        <v>43</v>
      </c>
      <c r="I2114" s="47" t="s">
        <v>117</v>
      </c>
      <c r="J2114" s="47" t="s">
        <v>28</v>
      </c>
      <c r="K2114" s="47" t="s">
        <v>33</v>
      </c>
    </row>
    <row r="2115" customFormat="false" ht="15" hidden="false" customHeight="false" outlineLevel="0" collapsed="false">
      <c r="A2115" s="0" t="s">
        <v>3202</v>
      </c>
      <c r="B2115" s="0" t="s">
        <v>211</v>
      </c>
      <c r="D2115" s="46" t="n">
        <v>45900</v>
      </c>
      <c r="E2115" s="47" t="s">
        <v>58</v>
      </c>
      <c r="F2115" s="48" t="n">
        <v>92376.16</v>
      </c>
      <c r="G2115" s="47" t="s">
        <v>57</v>
      </c>
      <c r="H2115" s="47" t="s">
        <v>48</v>
      </c>
      <c r="I2115" s="47" t="s">
        <v>212</v>
      </c>
      <c r="J2115" s="47" t="s">
        <v>28</v>
      </c>
      <c r="K2115" s="47" t="s">
        <v>34</v>
      </c>
    </row>
    <row r="2116" customFormat="false" ht="15" hidden="false" customHeight="false" outlineLevel="0" collapsed="false">
      <c r="A2116" s="0" t="s">
        <v>3203</v>
      </c>
      <c r="B2116" s="0" t="s">
        <v>3134</v>
      </c>
      <c r="C2116" s="0" t="s">
        <v>3204</v>
      </c>
      <c r="D2116" s="46" t="n">
        <v>45817</v>
      </c>
      <c r="E2116" s="47" t="s">
        <v>59</v>
      </c>
      <c r="F2116" s="48" t="n">
        <v>31432.88</v>
      </c>
      <c r="G2116" s="47" t="s">
        <v>57</v>
      </c>
      <c r="H2116" s="47" t="s">
        <v>43</v>
      </c>
      <c r="I2116" s="47" t="s">
        <v>201</v>
      </c>
      <c r="J2116" s="47" t="s">
        <v>28</v>
      </c>
      <c r="K2116" s="47" t="s">
        <v>33</v>
      </c>
    </row>
    <row r="2117" customFormat="false" ht="15" hidden="false" customHeight="false" outlineLevel="0" collapsed="false">
      <c r="A2117" s="0" t="s">
        <v>3205</v>
      </c>
      <c r="B2117" s="0" t="s">
        <v>195</v>
      </c>
      <c r="D2117" s="46" t="n">
        <v>46164</v>
      </c>
      <c r="E2117" s="47" t="s">
        <v>59</v>
      </c>
      <c r="F2117" s="48" t="n">
        <v>138838.15</v>
      </c>
      <c r="G2117" s="47" t="s">
        <v>53</v>
      </c>
      <c r="H2117" s="47" t="s">
        <v>39</v>
      </c>
      <c r="I2117" s="47" t="s">
        <v>145</v>
      </c>
      <c r="J2117" s="47" t="s">
        <v>28</v>
      </c>
      <c r="K2117" s="47" t="s">
        <v>34</v>
      </c>
    </row>
    <row r="2118" customFormat="false" ht="15" hidden="false" customHeight="false" outlineLevel="0" collapsed="false">
      <c r="A2118" s="0" t="s">
        <v>3206</v>
      </c>
      <c r="B2118" s="0" t="s">
        <v>2610</v>
      </c>
      <c r="D2118" s="46" t="n">
        <v>45678</v>
      </c>
      <c r="E2118" s="47" t="s">
        <v>62</v>
      </c>
      <c r="F2118" s="48" t="n">
        <v>108999</v>
      </c>
      <c r="G2118" s="47" t="s">
        <v>57</v>
      </c>
      <c r="H2118" s="47" t="s">
        <v>42</v>
      </c>
      <c r="I2118" s="47" t="s">
        <v>137</v>
      </c>
      <c r="J2118" s="47" t="s">
        <v>28</v>
      </c>
      <c r="K2118" s="47" t="s">
        <v>34</v>
      </c>
    </row>
    <row r="2119" customFormat="false" ht="15" hidden="false" customHeight="false" outlineLevel="0" collapsed="false">
      <c r="A2119" s="0" t="s">
        <v>3207</v>
      </c>
      <c r="B2119" s="0" t="s">
        <v>894</v>
      </c>
      <c r="C2119" s="0" t="s">
        <v>3208</v>
      </c>
      <c r="D2119" s="46" t="n">
        <v>46226</v>
      </c>
      <c r="E2119" s="47" t="s">
        <v>53</v>
      </c>
      <c r="F2119" s="48" t="n">
        <v>110779.29</v>
      </c>
      <c r="G2119" s="47" t="s">
        <v>57</v>
      </c>
      <c r="H2119" s="47" t="s">
        <v>45</v>
      </c>
      <c r="I2119" s="47" t="s">
        <v>217</v>
      </c>
      <c r="J2119" s="47" t="s">
        <v>28</v>
      </c>
      <c r="K2119" s="47" t="s">
        <v>33</v>
      </c>
    </row>
    <row r="2120" customFormat="false" ht="15" hidden="false" customHeight="false" outlineLevel="0" collapsed="false">
      <c r="A2120" s="0" t="s">
        <v>3209</v>
      </c>
      <c r="B2120" s="0" t="s">
        <v>1694</v>
      </c>
      <c r="D2120" s="46" t="n">
        <v>45831</v>
      </c>
      <c r="E2120" s="47" t="s">
        <v>59</v>
      </c>
      <c r="F2120" s="48" t="n">
        <v>60273.15</v>
      </c>
      <c r="G2120" s="47" t="s">
        <v>68</v>
      </c>
      <c r="H2120" s="47" t="s">
        <v>39</v>
      </c>
      <c r="I2120" s="47" t="s">
        <v>177</v>
      </c>
      <c r="J2120" s="47" t="s">
        <v>28</v>
      </c>
      <c r="K2120" s="47" t="s">
        <v>33</v>
      </c>
    </row>
    <row r="2121" customFormat="false" ht="15" hidden="false" customHeight="false" outlineLevel="0" collapsed="false">
      <c r="A2121" s="0" t="s">
        <v>3210</v>
      </c>
      <c r="B2121" s="0" t="s">
        <v>1954</v>
      </c>
      <c r="D2121" s="46" t="n">
        <v>46220</v>
      </c>
      <c r="E2121" s="47" t="s">
        <v>53</v>
      </c>
      <c r="F2121" s="48" t="n">
        <v>51688.78</v>
      </c>
      <c r="G2121" s="47" t="s">
        <v>68</v>
      </c>
      <c r="H2121" s="47" t="s">
        <v>42</v>
      </c>
      <c r="I2121" s="47" t="s">
        <v>137</v>
      </c>
      <c r="J2121" s="47" t="s">
        <v>28</v>
      </c>
      <c r="K2121" s="47" t="s">
        <v>34</v>
      </c>
    </row>
    <row r="2122" customFormat="false" ht="15" hidden="false" customHeight="false" outlineLevel="0" collapsed="false">
      <c r="A2122" s="0" t="s">
        <v>3211</v>
      </c>
      <c r="B2122" s="0" t="s">
        <v>1308</v>
      </c>
      <c r="C2122" s="0" t="s">
        <v>1309</v>
      </c>
      <c r="D2122" s="46" t="n">
        <v>45901</v>
      </c>
      <c r="E2122" s="47" t="s">
        <v>62</v>
      </c>
      <c r="F2122" s="48" t="n">
        <v>120973.35</v>
      </c>
      <c r="G2122" s="47" t="s">
        <v>65</v>
      </c>
      <c r="H2122" s="47" t="s">
        <v>48</v>
      </c>
      <c r="I2122" s="47" t="s">
        <v>111</v>
      </c>
      <c r="J2122" s="47" t="s">
        <v>28</v>
      </c>
      <c r="K2122" s="47" t="s">
        <v>33</v>
      </c>
    </row>
    <row r="2123" customFormat="false" ht="15" hidden="false" customHeight="false" outlineLevel="0" collapsed="false">
      <c r="A2123" s="0" t="s">
        <v>3212</v>
      </c>
      <c r="B2123" s="0" t="s">
        <v>3213</v>
      </c>
      <c r="D2123" s="46" t="n">
        <v>45720</v>
      </c>
      <c r="E2123" s="47" t="s">
        <v>60</v>
      </c>
      <c r="F2123" s="48" t="n">
        <v>169157.6</v>
      </c>
      <c r="G2123" s="47" t="s">
        <v>57</v>
      </c>
      <c r="H2123" s="47" t="s">
        <v>47</v>
      </c>
      <c r="I2123" s="47" t="s">
        <v>166</v>
      </c>
      <c r="J2123" s="47" t="s">
        <v>28</v>
      </c>
      <c r="K2123" s="47" t="s">
        <v>33</v>
      </c>
    </row>
    <row r="2124" customFormat="false" ht="15" hidden="false" customHeight="false" outlineLevel="0" collapsed="false">
      <c r="A2124" s="0" t="s">
        <v>3214</v>
      </c>
      <c r="B2124" s="0" t="s">
        <v>2642</v>
      </c>
      <c r="C2124" s="0" t="s">
        <v>3215</v>
      </c>
      <c r="D2124" s="46" t="n">
        <v>45991</v>
      </c>
      <c r="E2124" s="47" t="s">
        <v>61</v>
      </c>
      <c r="F2124" s="48" t="n">
        <v>85253.34</v>
      </c>
      <c r="G2124" s="47" t="s">
        <v>65</v>
      </c>
      <c r="H2124" s="47" t="s">
        <v>45</v>
      </c>
      <c r="I2124" s="47" t="s">
        <v>151</v>
      </c>
      <c r="J2124" s="47" t="s">
        <v>28</v>
      </c>
      <c r="K2124" s="47" t="s">
        <v>33</v>
      </c>
    </row>
    <row r="2125" customFormat="false" ht="15" hidden="false" customHeight="false" outlineLevel="0" collapsed="false">
      <c r="A2125" s="0" t="s">
        <v>3216</v>
      </c>
      <c r="B2125" s="0" t="s">
        <v>887</v>
      </c>
      <c r="C2125" s="0" t="s">
        <v>3217</v>
      </c>
      <c r="D2125" s="46" t="n">
        <v>46030</v>
      </c>
      <c r="E2125" s="47" t="s">
        <v>61</v>
      </c>
      <c r="F2125" s="48" t="n">
        <v>88733.94</v>
      </c>
      <c r="G2125" s="47" t="s">
        <v>66</v>
      </c>
      <c r="H2125" s="47" t="s">
        <v>48</v>
      </c>
      <c r="I2125" s="47" t="s">
        <v>212</v>
      </c>
      <c r="J2125" s="47" t="s">
        <v>28</v>
      </c>
      <c r="K2125" s="47" t="s">
        <v>34</v>
      </c>
    </row>
    <row r="2126" customFormat="false" ht="15" hidden="false" customHeight="false" outlineLevel="0" collapsed="false">
      <c r="A2126" s="0" t="s">
        <v>3218</v>
      </c>
      <c r="B2126" s="0" t="s">
        <v>369</v>
      </c>
      <c r="D2126" s="46" t="n">
        <v>45793</v>
      </c>
      <c r="E2126" s="47" t="s">
        <v>58</v>
      </c>
      <c r="F2126" s="48" t="n">
        <v>170226.7</v>
      </c>
      <c r="G2126" s="47" t="s">
        <v>65</v>
      </c>
      <c r="H2126" s="47" t="s">
        <v>46</v>
      </c>
      <c r="I2126" s="47" t="s">
        <v>121</v>
      </c>
      <c r="J2126" s="47" t="s">
        <v>28</v>
      </c>
      <c r="K2126" s="47" t="s">
        <v>33</v>
      </c>
    </row>
    <row r="2127" customFormat="false" ht="15" hidden="false" customHeight="false" outlineLevel="0" collapsed="false">
      <c r="A2127" s="0" t="s">
        <v>3219</v>
      </c>
      <c r="B2127" s="0" t="s">
        <v>944</v>
      </c>
      <c r="D2127" s="46" t="n">
        <v>46162</v>
      </c>
      <c r="E2127" s="47" t="s">
        <v>60</v>
      </c>
      <c r="F2127" s="48" t="n">
        <v>172812.87</v>
      </c>
      <c r="G2127" s="47" t="s">
        <v>53</v>
      </c>
      <c r="H2127" s="47" t="s">
        <v>45</v>
      </c>
      <c r="I2127" s="47" t="s">
        <v>217</v>
      </c>
      <c r="J2127" s="47" t="s">
        <v>28</v>
      </c>
      <c r="K2127" s="47" t="s">
        <v>33</v>
      </c>
    </row>
    <row r="2128" customFormat="false" ht="15" hidden="false" customHeight="false" outlineLevel="0" collapsed="false">
      <c r="A2128" s="0" t="s">
        <v>3220</v>
      </c>
      <c r="B2128" s="0" t="s">
        <v>176</v>
      </c>
      <c r="C2128" s="0" t="s">
        <v>3221</v>
      </c>
      <c r="D2128" s="46" t="n">
        <v>46087</v>
      </c>
      <c r="E2128" s="47" t="s">
        <v>58</v>
      </c>
      <c r="F2128" s="48" t="n">
        <v>125512.2</v>
      </c>
      <c r="G2128" s="47" t="s">
        <v>57</v>
      </c>
      <c r="H2128" s="47" t="s">
        <v>39</v>
      </c>
      <c r="I2128" s="47" t="s">
        <v>177</v>
      </c>
      <c r="J2128" s="47" t="s">
        <v>28</v>
      </c>
      <c r="K2128" s="47" t="s">
        <v>33</v>
      </c>
    </row>
    <row r="2129" customFormat="false" ht="15" hidden="false" customHeight="false" outlineLevel="0" collapsed="false">
      <c r="A2129" s="0" t="s">
        <v>3222</v>
      </c>
      <c r="B2129" s="0" t="s">
        <v>2897</v>
      </c>
      <c r="D2129" s="46" t="n">
        <v>45710</v>
      </c>
      <c r="E2129" s="47" t="s">
        <v>61</v>
      </c>
      <c r="F2129" s="48" t="n">
        <v>141712.74</v>
      </c>
      <c r="G2129" s="47" t="s">
        <v>53</v>
      </c>
      <c r="H2129" s="47" t="s">
        <v>40</v>
      </c>
      <c r="I2129" s="47" t="s">
        <v>83</v>
      </c>
      <c r="J2129" s="47" t="s">
        <v>28</v>
      </c>
      <c r="K2129" s="47" t="s">
        <v>34</v>
      </c>
    </row>
    <row r="2130" customFormat="false" ht="15" hidden="false" customHeight="false" outlineLevel="0" collapsed="false">
      <c r="A2130" s="0" t="s">
        <v>3223</v>
      </c>
      <c r="B2130" s="0" t="s">
        <v>288</v>
      </c>
      <c r="D2130" s="46" t="n">
        <v>45666</v>
      </c>
      <c r="E2130" s="47" t="s">
        <v>59</v>
      </c>
      <c r="F2130" s="48" t="n">
        <v>35198.8</v>
      </c>
      <c r="G2130" s="47" t="s">
        <v>53</v>
      </c>
      <c r="H2130" s="47" t="s">
        <v>44</v>
      </c>
      <c r="I2130" s="47" t="s">
        <v>80</v>
      </c>
      <c r="J2130" s="47" t="s">
        <v>28</v>
      </c>
      <c r="K2130" s="47" t="s">
        <v>34</v>
      </c>
    </row>
    <row r="2131" customFormat="false" ht="15" hidden="false" customHeight="false" outlineLevel="0" collapsed="false">
      <c r="A2131" s="0" t="s">
        <v>3224</v>
      </c>
      <c r="B2131" s="0" t="s">
        <v>1392</v>
      </c>
      <c r="C2131" s="0" t="s">
        <v>3225</v>
      </c>
      <c r="D2131" s="46" t="n">
        <v>46237</v>
      </c>
      <c r="E2131" s="47" t="s">
        <v>62</v>
      </c>
      <c r="F2131" s="48" t="n">
        <v>182175.03</v>
      </c>
      <c r="G2131" s="47" t="s">
        <v>57</v>
      </c>
      <c r="H2131" s="47" t="s">
        <v>47</v>
      </c>
      <c r="I2131" s="47" t="s">
        <v>166</v>
      </c>
      <c r="J2131" s="47" t="s">
        <v>28</v>
      </c>
      <c r="K2131" s="47" t="s">
        <v>33</v>
      </c>
    </row>
    <row r="2132" customFormat="false" ht="15" hidden="false" customHeight="false" outlineLevel="0" collapsed="false">
      <c r="A2132" s="0" t="s">
        <v>3226</v>
      </c>
      <c r="B2132" s="0" t="s">
        <v>209</v>
      </c>
      <c r="D2132" s="46" t="n">
        <v>45879</v>
      </c>
      <c r="E2132" s="47" t="s">
        <v>58</v>
      </c>
      <c r="F2132" s="48" t="n">
        <v>59525.36</v>
      </c>
      <c r="G2132" s="47" t="s">
        <v>53</v>
      </c>
      <c r="H2132" s="47" t="s">
        <v>40</v>
      </c>
      <c r="I2132" s="47" t="s">
        <v>89</v>
      </c>
      <c r="J2132" s="47" t="s">
        <v>28</v>
      </c>
      <c r="K2132" s="47" t="s">
        <v>33</v>
      </c>
    </row>
    <row r="2133" customFormat="false" ht="15" hidden="false" customHeight="false" outlineLevel="0" collapsed="false">
      <c r="A2133" s="0" t="s">
        <v>3227</v>
      </c>
      <c r="B2133" s="0" t="s">
        <v>2507</v>
      </c>
      <c r="D2133" s="46" t="n">
        <v>45722</v>
      </c>
      <c r="E2133" s="47" t="s">
        <v>53</v>
      </c>
      <c r="F2133" s="48" t="n">
        <v>179407.06</v>
      </c>
      <c r="G2133" s="47" t="s">
        <v>65</v>
      </c>
      <c r="H2133" s="47" t="s">
        <v>39</v>
      </c>
      <c r="I2133" s="47" t="s">
        <v>145</v>
      </c>
      <c r="J2133" s="47" t="s">
        <v>28</v>
      </c>
      <c r="K2133" s="47" t="s">
        <v>34</v>
      </c>
    </row>
    <row r="2134" customFormat="false" ht="15" hidden="false" customHeight="false" outlineLevel="0" collapsed="false">
      <c r="A2134" s="0" t="s">
        <v>3228</v>
      </c>
      <c r="B2134" s="0" t="s">
        <v>197</v>
      </c>
      <c r="C2134" s="0" t="s">
        <v>198</v>
      </c>
      <c r="D2134" s="46" t="n">
        <v>45971</v>
      </c>
      <c r="E2134" s="47" t="s">
        <v>60</v>
      </c>
      <c r="F2134" s="48" t="n">
        <v>8170.39</v>
      </c>
      <c r="G2134" s="47" t="s">
        <v>65</v>
      </c>
      <c r="H2134" s="47" t="s">
        <v>44</v>
      </c>
      <c r="I2134" s="47" t="s">
        <v>80</v>
      </c>
      <c r="J2134" s="47" t="s">
        <v>29</v>
      </c>
      <c r="K2134" s="47" t="s">
        <v>33</v>
      </c>
    </row>
    <row r="2135" customFormat="false" ht="15" hidden="false" customHeight="false" outlineLevel="0" collapsed="false">
      <c r="A2135" s="0" t="s">
        <v>3229</v>
      </c>
      <c r="B2135" s="0" t="s">
        <v>1745</v>
      </c>
      <c r="D2135" s="46" t="n">
        <v>46272</v>
      </c>
      <c r="E2135" s="47" t="s">
        <v>61</v>
      </c>
      <c r="F2135" s="48" t="n">
        <v>139908.76</v>
      </c>
      <c r="G2135" s="47" t="s">
        <v>66</v>
      </c>
      <c r="H2135" s="47" t="s">
        <v>39</v>
      </c>
      <c r="I2135" s="47" t="s">
        <v>177</v>
      </c>
      <c r="J2135" s="47" t="s">
        <v>28</v>
      </c>
      <c r="K2135" s="47" t="s">
        <v>34</v>
      </c>
    </row>
    <row r="2136" customFormat="false" ht="15" hidden="false" customHeight="false" outlineLevel="0" collapsed="false">
      <c r="A2136" s="0" t="s">
        <v>3230</v>
      </c>
      <c r="B2136" s="0" t="s">
        <v>1211</v>
      </c>
      <c r="D2136" s="46" t="n">
        <v>46141</v>
      </c>
      <c r="E2136" s="47" t="s">
        <v>62</v>
      </c>
      <c r="F2136" s="48" t="n">
        <v>31062.01</v>
      </c>
      <c r="G2136" s="47" t="s">
        <v>68</v>
      </c>
      <c r="H2136" s="47" t="s">
        <v>40</v>
      </c>
      <c r="I2136" s="47" t="s">
        <v>89</v>
      </c>
      <c r="J2136" s="47" t="s">
        <v>28</v>
      </c>
      <c r="K2136" s="47" t="s">
        <v>34</v>
      </c>
    </row>
    <row r="2137" customFormat="false" ht="15" hidden="false" customHeight="false" outlineLevel="0" collapsed="false">
      <c r="A2137" s="0" t="s">
        <v>3231</v>
      </c>
      <c r="B2137" s="0" t="s">
        <v>437</v>
      </c>
      <c r="D2137" s="46" t="n">
        <v>45688</v>
      </c>
      <c r="E2137" s="47" t="s">
        <v>61</v>
      </c>
      <c r="F2137" s="48" t="n">
        <v>14137.44</v>
      </c>
      <c r="G2137" s="47" t="s">
        <v>57</v>
      </c>
      <c r="H2137" s="47" t="s">
        <v>39</v>
      </c>
      <c r="I2137" s="47" t="s">
        <v>145</v>
      </c>
      <c r="J2137" s="47" t="s">
        <v>28</v>
      </c>
      <c r="K2137" s="47" t="s">
        <v>33</v>
      </c>
    </row>
    <row r="2138" customFormat="false" ht="15" hidden="false" customHeight="false" outlineLevel="0" collapsed="false">
      <c r="A2138" s="0" t="s">
        <v>3232</v>
      </c>
      <c r="B2138" s="0" t="s">
        <v>164</v>
      </c>
      <c r="D2138" s="46" t="n">
        <v>46284</v>
      </c>
      <c r="E2138" s="47" t="s">
        <v>53</v>
      </c>
      <c r="F2138" s="48" t="n">
        <v>153230.03</v>
      </c>
      <c r="G2138" s="47" t="s">
        <v>66</v>
      </c>
      <c r="H2138" s="47" t="s">
        <v>47</v>
      </c>
      <c r="I2138" s="47" t="s">
        <v>166</v>
      </c>
      <c r="J2138" s="47" t="s">
        <v>28</v>
      </c>
      <c r="K2138" s="47" t="s">
        <v>34</v>
      </c>
    </row>
    <row r="2139" customFormat="false" ht="15" hidden="false" customHeight="false" outlineLevel="0" collapsed="false">
      <c r="A2139" s="0" t="s">
        <v>3233</v>
      </c>
      <c r="B2139" s="0" t="s">
        <v>1165</v>
      </c>
      <c r="D2139" s="46" t="n">
        <v>45928</v>
      </c>
      <c r="E2139" s="47" t="s">
        <v>55</v>
      </c>
      <c r="F2139" s="48" t="n">
        <v>19575.43</v>
      </c>
      <c r="G2139" s="47" t="s">
        <v>66</v>
      </c>
      <c r="H2139" s="47" t="s">
        <v>41</v>
      </c>
      <c r="I2139" s="47" t="s">
        <v>272</v>
      </c>
      <c r="J2139" s="47" t="s">
        <v>28</v>
      </c>
      <c r="K2139" s="47" t="s">
        <v>34</v>
      </c>
    </row>
    <row r="2140" customFormat="false" ht="15" hidden="false" customHeight="false" outlineLevel="0" collapsed="false">
      <c r="A2140" s="0" t="s">
        <v>3234</v>
      </c>
      <c r="B2140" s="0" t="s">
        <v>271</v>
      </c>
      <c r="C2140" s="0" t="s">
        <v>3235</v>
      </c>
      <c r="D2140" s="46" t="n">
        <v>45674</v>
      </c>
      <c r="E2140" s="47" t="s">
        <v>61</v>
      </c>
      <c r="F2140" s="48" t="n">
        <v>131006.48</v>
      </c>
      <c r="G2140" s="47" t="s">
        <v>53</v>
      </c>
      <c r="H2140" s="47" t="s">
        <v>41</v>
      </c>
      <c r="I2140" s="47" t="s">
        <v>272</v>
      </c>
      <c r="J2140" s="47" t="s">
        <v>28</v>
      </c>
      <c r="K2140" s="47" t="s">
        <v>33</v>
      </c>
    </row>
    <row r="2141" customFormat="false" ht="15" hidden="false" customHeight="false" outlineLevel="0" collapsed="false">
      <c r="A2141" s="0" t="s">
        <v>3236</v>
      </c>
      <c r="B2141" s="0" t="s">
        <v>3237</v>
      </c>
      <c r="D2141" s="46" t="n">
        <v>46124</v>
      </c>
      <c r="E2141" s="47" t="s">
        <v>60</v>
      </c>
      <c r="F2141" s="48" t="n">
        <v>53060.61</v>
      </c>
      <c r="G2141" s="47" t="s">
        <v>57</v>
      </c>
      <c r="H2141" s="47" t="s">
        <v>45</v>
      </c>
      <c r="I2141" s="47" t="s">
        <v>151</v>
      </c>
      <c r="J2141" s="47" t="s">
        <v>28</v>
      </c>
      <c r="K2141" s="47" t="s">
        <v>33</v>
      </c>
    </row>
    <row r="2142" customFormat="false" ht="15" hidden="false" customHeight="false" outlineLevel="0" collapsed="false">
      <c r="A2142" s="0" t="s">
        <v>3238</v>
      </c>
      <c r="B2142" s="0" t="s">
        <v>283</v>
      </c>
      <c r="D2142" s="46" t="n">
        <v>45923</v>
      </c>
      <c r="E2142" s="47" t="s">
        <v>62</v>
      </c>
      <c r="F2142" s="48" t="n">
        <v>24731.51</v>
      </c>
      <c r="G2142" s="47" t="s">
        <v>53</v>
      </c>
      <c r="H2142" s="47" t="s">
        <v>43</v>
      </c>
      <c r="I2142" s="47" t="s">
        <v>117</v>
      </c>
      <c r="J2142" s="47" t="s">
        <v>28</v>
      </c>
      <c r="K2142" s="47" t="s">
        <v>34</v>
      </c>
    </row>
    <row r="2143" customFormat="false" ht="15" hidden="false" customHeight="false" outlineLevel="0" collapsed="false">
      <c r="A2143" s="0" t="s">
        <v>3239</v>
      </c>
      <c r="B2143" s="0" t="s">
        <v>3240</v>
      </c>
      <c r="D2143" s="46" t="n">
        <v>45665</v>
      </c>
      <c r="E2143" s="47" t="s">
        <v>59</v>
      </c>
      <c r="F2143" s="48" t="n">
        <v>187238.9</v>
      </c>
      <c r="G2143" s="47" t="s">
        <v>57</v>
      </c>
      <c r="H2143" s="47" t="s">
        <v>46</v>
      </c>
      <c r="I2143" s="47" t="s">
        <v>242</v>
      </c>
      <c r="J2143" s="47" t="s">
        <v>28</v>
      </c>
      <c r="K2143" s="47" t="s">
        <v>33</v>
      </c>
    </row>
    <row r="2144" customFormat="false" ht="15" hidden="false" customHeight="false" outlineLevel="0" collapsed="false">
      <c r="A2144" s="0" t="s">
        <v>3241</v>
      </c>
      <c r="B2144" s="0" t="s">
        <v>451</v>
      </c>
      <c r="D2144" s="46" t="n">
        <v>45691</v>
      </c>
      <c r="E2144" s="47" t="s">
        <v>59</v>
      </c>
      <c r="F2144" s="48" t="n">
        <v>135138.72</v>
      </c>
      <c r="G2144" s="47" t="s">
        <v>57</v>
      </c>
      <c r="H2144" s="47" t="s">
        <v>41</v>
      </c>
      <c r="I2144" s="47" t="s">
        <v>293</v>
      </c>
      <c r="J2144" s="47" t="s">
        <v>28</v>
      </c>
      <c r="K2144" s="47" t="s">
        <v>33</v>
      </c>
    </row>
    <row r="2145" customFormat="false" ht="15" hidden="false" customHeight="false" outlineLevel="0" collapsed="false">
      <c r="A2145" s="0" t="s">
        <v>3242</v>
      </c>
      <c r="B2145" s="0" t="s">
        <v>1898</v>
      </c>
      <c r="D2145" s="46" t="n">
        <v>46030</v>
      </c>
      <c r="E2145" s="47" t="s">
        <v>61</v>
      </c>
      <c r="F2145" s="48" t="n">
        <v>106076.09</v>
      </c>
      <c r="G2145" s="47" t="s">
        <v>68</v>
      </c>
      <c r="H2145" s="47" t="s">
        <v>43</v>
      </c>
      <c r="I2145" s="47" t="s">
        <v>201</v>
      </c>
      <c r="J2145" s="47" t="s">
        <v>28</v>
      </c>
      <c r="K2145" s="47" t="s">
        <v>34</v>
      </c>
    </row>
    <row r="2146" customFormat="false" ht="15" hidden="false" customHeight="false" outlineLevel="0" collapsed="false">
      <c r="A2146" s="0" t="s">
        <v>3243</v>
      </c>
      <c r="B2146" s="0" t="s">
        <v>1898</v>
      </c>
      <c r="D2146" s="46" t="n">
        <v>46026</v>
      </c>
      <c r="E2146" s="47" t="s">
        <v>55</v>
      </c>
      <c r="F2146" s="48" t="n">
        <v>37061.21</v>
      </c>
      <c r="G2146" s="47" t="s">
        <v>65</v>
      </c>
      <c r="H2146" s="47" t="s">
        <v>43</v>
      </c>
      <c r="I2146" s="47" t="s">
        <v>201</v>
      </c>
      <c r="J2146" s="47" t="s">
        <v>28</v>
      </c>
      <c r="K2146" s="47" t="s">
        <v>34</v>
      </c>
    </row>
    <row r="2147" customFormat="false" ht="15" hidden="false" customHeight="false" outlineLevel="0" collapsed="false">
      <c r="A2147" s="0" t="s">
        <v>3244</v>
      </c>
      <c r="B2147" s="0" t="s">
        <v>1524</v>
      </c>
      <c r="D2147" s="46" t="n">
        <v>46278</v>
      </c>
      <c r="E2147" s="47" t="s">
        <v>58</v>
      </c>
      <c r="F2147" s="48" t="n">
        <v>155080.94</v>
      </c>
      <c r="G2147" s="47" t="s">
        <v>65</v>
      </c>
      <c r="H2147" s="47" t="s">
        <v>40</v>
      </c>
      <c r="I2147" s="47" t="s">
        <v>89</v>
      </c>
      <c r="J2147" s="47" t="s">
        <v>28</v>
      </c>
      <c r="K2147" s="47" t="s">
        <v>33</v>
      </c>
    </row>
    <row r="2148" customFormat="false" ht="15" hidden="false" customHeight="false" outlineLevel="0" collapsed="false">
      <c r="A2148" s="0" t="s">
        <v>3245</v>
      </c>
      <c r="B2148" s="0" t="s">
        <v>1097</v>
      </c>
      <c r="D2148" s="46" t="n">
        <v>46168</v>
      </c>
      <c r="E2148" s="47" t="s">
        <v>60</v>
      </c>
      <c r="F2148" s="48" t="n">
        <v>180682.51</v>
      </c>
      <c r="G2148" s="47" t="s">
        <v>53</v>
      </c>
      <c r="H2148" s="47" t="s">
        <v>47</v>
      </c>
      <c r="I2148" s="47" t="s">
        <v>108</v>
      </c>
      <c r="J2148" s="47" t="s">
        <v>29</v>
      </c>
      <c r="K2148" s="47" t="s">
        <v>33</v>
      </c>
    </row>
    <row r="2149" customFormat="false" ht="15" hidden="false" customHeight="false" outlineLevel="0" collapsed="false">
      <c r="A2149" s="0" t="s">
        <v>3246</v>
      </c>
      <c r="B2149" s="0" t="s">
        <v>1014</v>
      </c>
      <c r="D2149" s="46" t="n">
        <v>46056</v>
      </c>
      <c r="E2149" s="47" t="s">
        <v>53</v>
      </c>
      <c r="F2149" s="48" t="n">
        <v>169003.63</v>
      </c>
      <c r="G2149" s="47" t="s">
        <v>53</v>
      </c>
      <c r="H2149" s="47" t="s">
        <v>40</v>
      </c>
      <c r="I2149" s="47" t="s">
        <v>253</v>
      </c>
      <c r="J2149" s="47" t="s">
        <v>28</v>
      </c>
      <c r="K2149" s="47" t="s">
        <v>33</v>
      </c>
    </row>
    <row r="2150" customFormat="false" ht="15" hidden="false" customHeight="false" outlineLevel="0" collapsed="false">
      <c r="A2150" s="0" t="s">
        <v>3247</v>
      </c>
      <c r="B2150" s="0" t="s">
        <v>494</v>
      </c>
      <c r="D2150" s="46" t="n">
        <v>46148</v>
      </c>
      <c r="E2150" s="47" t="s">
        <v>62</v>
      </c>
      <c r="F2150" s="48" t="n">
        <v>104078.37</v>
      </c>
      <c r="G2150" s="47" t="s">
        <v>65</v>
      </c>
      <c r="H2150" s="47" t="s">
        <v>39</v>
      </c>
      <c r="I2150" s="47" t="s">
        <v>145</v>
      </c>
      <c r="J2150" s="47" t="s">
        <v>28</v>
      </c>
      <c r="K2150" s="47" t="s">
        <v>34</v>
      </c>
    </row>
    <row r="2151" customFormat="false" ht="15" hidden="false" customHeight="false" outlineLevel="0" collapsed="false">
      <c r="A2151" s="0" t="s">
        <v>3248</v>
      </c>
      <c r="B2151" s="0" t="s">
        <v>354</v>
      </c>
      <c r="D2151" s="46" t="n">
        <v>46113</v>
      </c>
      <c r="E2151" s="47" t="s">
        <v>60</v>
      </c>
      <c r="F2151" s="48" t="n">
        <v>72388.73</v>
      </c>
      <c r="G2151" s="47" t="s">
        <v>57</v>
      </c>
      <c r="H2151" s="47" t="s">
        <v>40</v>
      </c>
      <c r="I2151" s="47" t="s">
        <v>89</v>
      </c>
      <c r="J2151" s="47" t="s">
        <v>28</v>
      </c>
      <c r="K2151" s="47" t="s">
        <v>33</v>
      </c>
    </row>
    <row r="2152" customFormat="false" ht="15" hidden="false" customHeight="false" outlineLevel="0" collapsed="false">
      <c r="A2152" s="0" t="s">
        <v>3249</v>
      </c>
      <c r="B2152" s="0" t="s">
        <v>2679</v>
      </c>
      <c r="D2152" s="46" t="n">
        <v>45707</v>
      </c>
      <c r="E2152" s="47" t="s">
        <v>59</v>
      </c>
      <c r="F2152" s="48" t="n">
        <v>186924.75</v>
      </c>
      <c r="G2152" s="47" t="s">
        <v>65</v>
      </c>
      <c r="H2152" s="47" t="s">
        <v>45</v>
      </c>
      <c r="I2152" s="47" t="s">
        <v>217</v>
      </c>
      <c r="J2152" s="47" t="s">
        <v>28</v>
      </c>
      <c r="K2152" s="47" t="s">
        <v>34</v>
      </c>
    </row>
    <row r="2153" customFormat="false" ht="15" hidden="false" customHeight="false" outlineLevel="0" collapsed="false">
      <c r="A2153" s="0" t="s">
        <v>3250</v>
      </c>
      <c r="B2153" s="0" t="s">
        <v>1754</v>
      </c>
      <c r="D2153" s="46" t="n">
        <v>45794</v>
      </c>
      <c r="E2153" s="47" t="s">
        <v>62</v>
      </c>
      <c r="F2153" s="48" t="n">
        <v>15455.86</v>
      </c>
      <c r="G2153" s="47" t="s">
        <v>68</v>
      </c>
      <c r="H2153" s="47" t="s">
        <v>47</v>
      </c>
      <c r="I2153" s="47" t="s">
        <v>166</v>
      </c>
      <c r="J2153" s="47" t="s">
        <v>28</v>
      </c>
      <c r="K2153" s="47" t="s">
        <v>33</v>
      </c>
    </row>
    <row r="2154" customFormat="false" ht="15" hidden="false" customHeight="false" outlineLevel="0" collapsed="false">
      <c r="A2154" s="0" t="s">
        <v>3251</v>
      </c>
      <c r="B2154" s="0" t="s">
        <v>172</v>
      </c>
      <c r="D2154" s="46" t="n">
        <v>45803</v>
      </c>
      <c r="E2154" s="47" t="s">
        <v>59</v>
      </c>
      <c r="F2154" s="48" t="n">
        <v>51268.36</v>
      </c>
      <c r="G2154" s="47" t="s">
        <v>65</v>
      </c>
      <c r="H2154" s="47" t="s">
        <v>47</v>
      </c>
      <c r="I2154" s="47" t="s">
        <v>108</v>
      </c>
      <c r="J2154" s="47" t="s">
        <v>29</v>
      </c>
      <c r="K2154" s="47" t="s">
        <v>33</v>
      </c>
    </row>
    <row r="2155" customFormat="false" ht="15" hidden="false" customHeight="false" outlineLevel="0" collapsed="false">
      <c r="A2155" s="0" t="s">
        <v>3252</v>
      </c>
      <c r="B2155" s="0" t="s">
        <v>828</v>
      </c>
      <c r="D2155" s="46" t="n">
        <v>46124</v>
      </c>
      <c r="E2155" s="47" t="s">
        <v>53</v>
      </c>
      <c r="F2155" s="48" t="n">
        <v>15500.48</v>
      </c>
      <c r="G2155" s="47" t="s">
        <v>57</v>
      </c>
      <c r="H2155" s="47" t="s">
        <v>45</v>
      </c>
      <c r="I2155" s="47" t="s">
        <v>217</v>
      </c>
      <c r="J2155" s="47" t="s">
        <v>28</v>
      </c>
      <c r="K2155" s="47" t="s">
        <v>33</v>
      </c>
    </row>
    <row r="2156" customFormat="false" ht="15" hidden="false" customHeight="false" outlineLevel="0" collapsed="false">
      <c r="A2156" s="0" t="s">
        <v>3253</v>
      </c>
      <c r="B2156" s="0" t="s">
        <v>466</v>
      </c>
      <c r="D2156" s="46" t="n">
        <v>45867</v>
      </c>
      <c r="E2156" s="47" t="s">
        <v>59</v>
      </c>
      <c r="F2156" s="48" t="n">
        <v>57054.09</v>
      </c>
      <c r="G2156" s="47" t="s">
        <v>57</v>
      </c>
      <c r="H2156" s="47" t="s">
        <v>47</v>
      </c>
      <c r="I2156" s="47" t="s">
        <v>108</v>
      </c>
      <c r="J2156" s="47" t="s">
        <v>28</v>
      </c>
      <c r="K2156" s="47" t="s">
        <v>33</v>
      </c>
    </row>
    <row r="2157" customFormat="false" ht="15" hidden="false" customHeight="false" outlineLevel="0" collapsed="false">
      <c r="A2157" s="0" t="s">
        <v>3254</v>
      </c>
      <c r="B2157" s="0" t="s">
        <v>2875</v>
      </c>
      <c r="D2157" s="46" t="n">
        <v>45836</v>
      </c>
      <c r="E2157" s="47" t="s">
        <v>61</v>
      </c>
      <c r="F2157" s="48" t="n">
        <v>176767.55</v>
      </c>
      <c r="G2157" s="47" t="s">
        <v>66</v>
      </c>
      <c r="H2157" s="47" t="s">
        <v>48</v>
      </c>
      <c r="I2157" s="47" t="s">
        <v>111</v>
      </c>
      <c r="J2157" s="47" t="s">
        <v>28</v>
      </c>
      <c r="K2157" s="47" t="s">
        <v>34</v>
      </c>
    </row>
    <row r="2158" customFormat="false" ht="15" hidden="false" customHeight="false" outlineLevel="0" collapsed="false">
      <c r="A2158" s="0" t="s">
        <v>3255</v>
      </c>
      <c r="B2158" s="0" t="s">
        <v>127</v>
      </c>
      <c r="D2158" s="46" t="n">
        <v>45923</v>
      </c>
      <c r="E2158" s="47" t="s">
        <v>59</v>
      </c>
      <c r="F2158" s="48" t="n">
        <v>135874.89</v>
      </c>
      <c r="G2158" s="47" t="s">
        <v>66</v>
      </c>
      <c r="H2158" s="47" t="s">
        <v>39</v>
      </c>
      <c r="I2158" s="47" t="s">
        <v>98</v>
      </c>
      <c r="J2158" s="47" t="s">
        <v>28</v>
      </c>
      <c r="K2158" s="47" t="s">
        <v>33</v>
      </c>
    </row>
    <row r="2159" customFormat="false" ht="15" hidden="false" customHeight="false" outlineLevel="0" collapsed="false">
      <c r="A2159" s="0" t="s">
        <v>3256</v>
      </c>
      <c r="B2159" s="0" t="s">
        <v>2272</v>
      </c>
      <c r="C2159" s="0" t="s">
        <v>3257</v>
      </c>
      <c r="D2159" s="46" t="n">
        <v>45849</v>
      </c>
      <c r="E2159" s="47" t="s">
        <v>62</v>
      </c>
      <c r="F2159" s="48" t="n">
        <v>162670.65</v>
      </c>
      <c r="G2159" s="47" t="s">
        <v>66</v>
      </c>
      <c r="H2159" s="47" t="s">
        <v>40</v>
      </c>
      <c r="I2159" s="47" t="s">
        <v>83</v>
      </c>
      <c r="J2159" s="47" t="s">
        <v>28</v>
      </c>
      <c r="K2159" s="47" t="s">
        <v>33</v>
      </c>
    </row>
    <row r="2160" customFormat="false" ht="15" hidden="false" customHeight="false" outlineLevel="0" collapsed="false">
      <c r="A2160" s="0" t="s">
        <v>3258</v>
      </c>
      <c r="B2160" s="0" t="s">
        <v>2373</v>
      </c>
      <c r="D2160" s="46" t="n">
        <v>45872</v>
      </c>
      <c r="E2160" s="47" t="s">
        <v>59</v>
      </c>
      <c r="F2160" s="48" t="n">
        <v>9690.97</v>
      </c>
      <c r="G2160" s="47" t="s">
        <v>68</v>
      </c>
      <c r="H2160" s="47" t="s">
        <v>47</v>
      </c>
      <c r="I2160" s="47" t="s">
        <v>108</v>
      </c>
      <c r="J2160" s="47" t="s">
        <v>28</v>
      </c>
      <c r="K2160" s="47" t="s">
        <v>33</v>
      </c>
    </row>
    <row r="2161" customFormat="false" ht="15" hidden="false" customHeight="false" outlineLevel="0" collapsed="false">
      <c r="A2161" s="0" t="s">
        <v>3259</v>
      </c>
      <c r="B2161" s="0" t="s">
        <v>671</v>
      </c>
      <c r="D2161" s="46" t="n">
        <v>45774</v>
      </c>
      <c r="E2161" s="47" t="s">
        <v>61</v>
      </c>
      <c r="F2161" s="48" t="n">
        <v>145400.63</v>
      </c>
      <c r="G2161" s="47" t="s">
        <v>57</v>
      </c>
      <c r="H2161" s="47" t="s">
        <v>45</v>
      </c>
      <c r="I2161" s="47" t="s">
        <v>217</v>
      </c>
      <c r="J2161" s="47" t="s">
        <v>28</v>
      </c>
      <c r="K2161" s="47" t="s">
        <v>34</v>
      </c>
    </row>
    <row r="2162" customFormat="false" ht="15" hidden="false" customHeight="false" outlineLevel="0" collapsed="false">
      <c r="A2162" s="0" t="s">
        <v>3260</v>
      </c>
      <c r="B2162" s="0" t="s">
        <v>1124</v>
      </c>
      <c r="D2162" s="46" t="n">
        <v>45748</v>
      </c>
      <c r="E2162" s="47" t="s">
        <v>62</v>
      </c>
      <c r="F2162" s="48" t="n">
        <v>95863.05</v>
      </c>
      <c r="G2162" s="47" t="s">
        <v>68</v>
      </c>
      <c r="H2162" s="47" t="s">
        <v>47</v>
      </c>
      <c r="I2162" s="47" t="s">
        <v>108</v>
      </c>
      <c r="J2162" s="47" t="s">
        <v>28</v>
      </c>
      <c r="K2162" s="47" t="s">
        <v>33</v>
      </c>
    </row>
    <row r="2163" customFormat="false" ht="15" hidden="false" customHeight="false" outlineLevel="0" collapsed="false">
      <c r="A2163" s="0" t="s">
        <v>3261</v>
      </c>
      <c r="B2163" s="0" t="s">
        <v>484</v>
      </c>
      <c r="D2163" s="46" t="n">
        <v>46014</v>
      </c>
      <c r="E2163" s="47" t="s">
        <v>61</v>
      </c>
      <c r="F2163" s="48" t="n">
        <v>166450.88</v>
      </c>
      <c r="G2163" s="47" t="s">
        <v>53</v>
      </c>
      <c r="H2163" s="47" t="s">
        <v>41</v>
      </c>
      <c r="I2163" s="47" t="s">
        <v>272</v>
      </c>
      <c r="J2163" s="47" t="s">
        <v>28</v>
      </c>
      <c r="K2163" s="47" t="s">
        <v>34</v>
      </c>
    </row>
    <row r="2164" customFormat="false" ht="15" hidden="false" customHeight="false" outlineLevel="0" collapsed="false">
      <c r="A2164" s="0" t="s">
        <v>3262</v>
      </c>
      <c r="B2164" s="0" t="s">
        <v>707</v>
      </c>
      <c r="D2164" s="46" t="n">
        <v>46169</v>
      </c>
      <c r="E2164" s="47" t="s">
        <v>62</v>
      </c>
      <c r="F2164" s="48" t="n">
        <v>148031.23</v>
      </c>
      <c r="G2164" s="47" t="s">
        <v>68</v>
      </c>
      <c r="H2164" s="47" t="s">
        <v>43</v>
      </c>
      <c r="I2164" s="47" t="s">
        <v>201</v>
      </c>
      <c r="J2164" s="47" t="s">
        <v>29</v>
      </c>
      <c r="K2164" s="47" t="s">
        <v>34</v>
      </c>
    </row>
    <row r="2165" customFormat="false" ht="15" hidden="false" customHeight="false" outlineLevel="0" collapsed="false">
      <c r="A2165" s="0" t="s">
        <v>3263</v>
      </c>
      <c r="B2165" s="0" t="s">
        <v>921</v>
      </c>
      <c r="C2165" s="0" t="s">
        <v>3264</v>
      </c>
      <c r="D2165" s="46" t="n">
        <v>45794</v>
      </c>
      <c r="E2165" s="47" t="s">
        <v>55</v>
      </c>
      <c r="F2165" s="48" t="n">
        <v>80206.65</v>
      </c>
      <c r="G2165" s="47" t="s">
        <v>53</v>
      </c>
      <c r="H2165" s="47" t="s">
        <v>47</v>
      </c>
      <c r="I2165" s="47" t="s">
        <v>108</v>
      </c>
      <c r="J2165" s="47" t="s">
        <v>28</v>
      </c>
      <c r="K2165" s="47" t="s">
        <v>34</v>
      </c>
    </row>
    <row r="2166" customFormat="false" ht="15" hidden="false" customHeight="false" outlineLevel="0" collapsed="false">
      <c r="A2166" s="0" t="s">
        <v>3265</v>
      </c>
      <c r="B2166" s="0" t="s">
        <v>1091</v>
      </c>
      <c r="C2166" s="0" t="s">
        <v>2413</v>
      </c>
      <c r="D2166" s="46" t="n">
        <v>46124</v>
      </c>
      <c r="E2166" s="47" t="s">
        <v>62</v>
      </c>
      <c r="F2166" s="48" t="n">
        <v>162428.72</v>
      </c>
      <c r="G2166" s="47" t="s">
        <v>57</v>
      </c>
      <c r="H2166" s="47" t="s">
        <v>43</v>
      </c>
      <c r="I2166" s="47" t="s">
        <v>102</v>
      </c>
      <c r="J2166" s="47" t="s">
        <v>28</v>
      </c>
      <c r="K2166" s="47" t="s">
        <v>34</v>
      </c>
    </row>
    <row r="2167" customFormat="false" ht="15" hidden="false" customHeight="false" outlineLevel="0" collapsed="false">
      <c r="A2167" s="0" t="s">
        <v>3266</v>
      </c>
      <c r="B2167" s="0" t="s">
        <v>183</v>
      </c>
      <c r="D2167" s="46" t="n">
        <v>46289</v>
      </c>
      <c r="E2167" s="47" t="s">
        <v>62</v>
      </c>
      <c r="F2167" s="48" t="n">
        <v>77220.34</v>
      </c>
      <c r="G2167" s="47" t="s">
        <v>57</v>
      </c>
      <c r="H2167" s="47" t="s">
        <v>42</v>
      </c>
      <c r="I2167" s="47" t="s">
        <v>105</v>
      </c>
      <c r="J2167" s="47" t="s">
        <v>28</v>
      </c>
      <c r="K2167" s="47" t="s">
        <v>34</v>
      </c>
    </row>
    <row r="2168" customFormat="false" ht="15" hidden="false" customHeight="false" outlineLevel="0" collapsed="false">
      <c r="A2168" s="0" t="s">
        <v>3267</v>
      </c>
      <c r="B2168" s="0" t="s">
        <v>85</v>
      </c>
      <c r="D2168" s="46" t="n">
        <v>46032</v>
      </c>
      <c r="E2168" s="47" t="s">
        <v>59</v>
      </c>
      <c r="F2168" s="48" t="n">
        <v>183272.32</v>
      </c>
      <c r="G2168" s="47" t="s">
        <v>65</v>
      </c>
      <c r="H2168" s="47" t="s">
        <v>41</v>
      </c>
      <c r="I2168" s="47" t="s">
        <v>86</v>
      </c>
      <c r="J2168" s="47" t="s">
        <v>28</v>
      </c>
      <c r="K2168" s="47" t="s">
        <v>33</v>
      </c>
    </row>
    <row r="2169" customFormat="false" ht="15" hidden="false" customHeight="false" outlineLevel="0" collapsed="false">
      <c r="A2169" s="0" t="s">
        <v>3268</v>
      </c>
      <c r="B2169" s="0" t="s">
        <v>566</v>
      </c>
      <c r="D2169" s="46" t="n">
        <v>46149</v>
      </c>
      <c r="E2169" s="47" t="s">
        <v>53</v>
      </c>
      <c r="F2169" s="48" t="n">
        <v>2226.38</v>
      </c>
      <c r="G2169" s="47" t="s">
        <v>68</v>
      </c>
      <c r="H2169" s="47" t="s">
        <v>45</v>
      </c>
      <c r="I2169" s="47" t="s">
        <v>151</v>
      </c>
      <c r="J2169" s="47" t="s">
        <v>28</v>
      </c>
      <c r="K2169" s="47" t="s">
        <v>34</v>
      </c>
    </row>
    <row r="2170" customFormat="false" ht="15" hidden="false" customHeight="false" outlineLevel="0" collapsed="false">
      <c r="A2170" s="0" t="s">
        <v>3269</v>
      </c>
      <c r="B2170" s="0" t="s">
        <v>1005</v>
      </c>
      <c r="D2170" s="46" t="n">
        <v>46198</v>
      </c>
      <c r="E2170" s="47" t="s">
        <v>62</v>
      </c>
      <c r="F2170" s="48" t="n">
        <v>166414.01</v>
      </c>
      <c r="G2170" s="47" t="s">
        <v>57</v>
      </c>
      <c r="H2170" s="47" t="s">
        <v>40</v>
      </c>
      <c r="I2170" s="47" t="s">
        <v>83</v>
      </c>
      <c r="J2170" s="47" t="s">
        <v>28</v>
      </c>
      <c r="K2170" s="47" t="s">
        <v>33</v>
      </c>
    </row>
    <row r="2171" customFormat="false" ht="15" hidden="false" customHeight="false" outlineLevel="0" collapsed="false">
      <c r="A2171" s="0" t="s">
        <v>3270</v>
      </c>
      <c r="B2171" s="0" t="s">
        <v>2760</v>
      </c>
      <c r="D2171" s="46" t="n">
        <v>46203</v>
      </c>
      <c r="E2171" s="47" t="s">
        <v>60</v>
      </c>
      <c r="F2171" s="48" t="n">
        <v>3037.77</v>
      </c>
      <c r="G2171" s="47" t="s">
        <v>57</v>
      </c>
      <c r="H2171" s="47" t="s">
        <v>45</v>
      </c>
      <c r="I2171" s="47" t="s">
        <v>95</v>
      </c>
      <c r="J2171" s="47" t="s">
        <v>28</v>
      </c>
      <c r="K2171" s="47" t="s">
        <v>33</v>
      </c>
    </row>
    <row r="2172" customFormat="false" ht="15" hidden="false" customHeight="false" outlineLevel="0" collapsed="false">
      <c r="A2172" s="0" t="s">
        <v>3271</v>
      </c>
      <c r="B2172" s="0" t="s">
        <v>2338</v>
      </c>
      <c r="D2172" s="46" t="n">
        <v>45709</v>
      </c>
      <c r="E2172" s="47" t="s">
        <v>60</v>
      </c>
      <c r="F2172" s="48" t="n">
        <v>66540.42</v>
      </c>
      <c r="G2172" s="47" t="s">
        <v>53</v>
      </c>
      <c r="H2172" s="47" t="s">
        <v>39</v>
      </c>
      <c r="I2172" s="47" t="s">
        <v>145</v>
      </c>
      <c r="J2172" s="47" t="s">
        <v>28</v>
      </c>
      <c r="K2172" s="47" t="s">
        <v>33</v>
      </c>
    </row>
    <row r="2173" customFormat="false" ht="15" hidden="false" customHeight="false" outlineLevel="0" collapsed="false">
      <c r="A2173" s="0" t="s">
        <v>3272</v>
      </c>
      <c r="B2173" s="0" t="s">
        <v>1567</v>
      </c>
      <c r="D2173" s="46" t="n">
        <v>45809</v>
      </c>
      <c r="E2173" s="47" t="s">
        <v>62</v>
      </c>
      <c r="F2173" s="48" t="n">
        <v>150901.3</v>
      </c>
      <c r="G2173" s="47" t="s">
        <v>53</v>
      </c>
      <c r="H2173" s="47" t="s">
        <v>43</v>
      </c>
      <c r="I2173" s="47" t="s">
        <v>201</v>
      </c>
      <c r="J2173" s="47" t="s">
        <v>28</v>
      </c>
      <c r="K2173" s="47" t="s">
        <v>33</v>
      </c>
    </row>
    <row r="2174" customFormat="false" ht="15" hidden="false" customHeight="false" outlineLevel="0" collapsed="false">
      <c r="A2174" s="0" t="s">
        <v>3273</v>
      </c>
      <c r="B2174" s="0" t="s">
        <v>1673</v>
      </c>
      <c r="D2174" s="46" t="n">
        <v>46015</v>
      </c>
      <c r="E2174" s="47" t="s">
        <v>60</v>
      </c>
      <c r="F2174" s="48" t="n">
        <v>136567.21</v>
      </c>
      <c r="G2174" s="47" t="s">
        <v>53</v>
      </c>
      <c r="H2174" s="47" t="s">
        <v>44</v>
      </c>
      <c r="I2174" s="47" t="s">
        <v>80</v>
      </c>
      <c r="J2174" s="47" t="s">
        <v>28</v>
      </c>
      <c r="K2174" s="47" t="s">
        <v>34</v>
      </c>
    </row>
    <row r="2175" customFormat="false" ht="15" hidden="false" customHeight="false" outlineLevel="0" collapsed="false">
      <c r="A2175" s="0" t="s">
        <v>3274</v>
      </c>
      <c r="B2175" s="0" t="s">
        <v>1901</v>
      </c>
      <c r="D2175" s="46" t="n">
        <v>46286</v>
      </c>
      <c r="E2175" s="47" t="s">
        <v>61</v>
      </c>
      <c r="F2175" s="48" t="n">
        <v>47789.05</v>
      </c>
      <c r="G2175" s="47" t="s">
        <v>66</v>
      </c>
      <c r="H2175" s="47" t="s">
        <v>42</v>
      </c>
      <c r="I2175" s="47" t="s">
        <v>105</v>
      </c>
      <c r="J2175" s="47" t="s">
        <v>28</v>
      </c>
      <c r="K2175" s="47" t="s">
        <v>33</v>
      </c>
    </row>
    <row r="2176" customFormat="false" ht="15" hidden="false" customHeight="false" outlineLevel="0" collapsed="false">
      <c r="A2176" s="0" t="s">
        <v>3275</v>
      </c>
      <c r="B2176" s="0" t="s">
        <v>491</v>
      </c>
      <c r="D2176" s="46" t="n">
        <v>46036</v>
      </c>
      <c r="E2176" s="47" t="s">
        <v>62</v>
      </c>
      <c r="F2176" s="48" t="n">
        <v>8914.47</v>
      </c>
      <c r="G2176" s="47" t="s">
        <v>66</v>
      </c>
      <c r="H2176" s="47" t="s">
        <v>47</v>
      </c>
      <c r="I2176" s="47" t="s">
        <v>108</v>
      </c>
      <c r="J2176" s="47" t="s">
        <v>28</v>
      </c>
      <c r="K2176" s="47" t="s">
        <v>34</v>
      </c>
    </row>
    <row r="2177" customFormat="false" ht="15" hidden="false" customHeight="false" outlineLevel="0" collapsed="false">
      <c r="A2177" s="0" t="s">
        <v>3276</v>
      </c>
      <c r="B2177" s="0" t="s">
        <v>1329</v>
      </c>
      <c r="D2177" s="46" t="n">
        <v>46038</v>
      </c>
      <c r="E2177" s="47" t="s">
        <v>62</v>
      </c>
      <c r="F2177" s="48" t="n">
        <v>66928.53</v>
      </c>
      <c r="G2177" s="47" t="s">
        <v>66</v>
      </c>
      <c r="H2177" s="47" t="s">
        <v>45</v>
      </c>
      <c r="I2177" s="47" t="s">
        <v>151</v>
      </c>
      <c r="J2177" s="47" t="s">
        <v>28</v>
      </c>
      <c r="K2177" s="47" t="s">
        <v>34</v>
      </c>
    </row>
    <row r="2178" customFormat="false" ht="15" hidden="false" customHeight="false" outlineLevel="0" collapsed="false">
      <c r="A2178" s="0" t="s">
        <v>3277</v>
      </c>
      <c r="B2178" s="0" t="s">
        <v>527</v>
      </c>
      <c r="D2178" s="46" t="n">
        <v>46093</v>
      </c>
      <c r="E2178" s="47" t="s">
        <v>60</v>
      </c>
      <c r="F2178" s="48" t="n">
        <v>51042.19</v>
      </c>
      <c r="G2178" s="47" t="s">
        <v>57</v>
      </c>
      <c r="H2178" s="47" t="s">
        <v>47</v>
      </c>
      <c r="I2178" s="47" t="s">
        <v>245</v>
      </c>
      <c r="J2178" s="47" t="s">
        <v>28</v>
      </c>
      <c r="K2178" s="47" t="s">
        <v>34</v>
      </c>
    </row>
    <row r="2179" customFormat="false" ht="15" hidden="false" customHeight="false" outlineLevel="0" collapsed="false">
      <c r="A2179" s="0" t="s">
        <v>3278</v>
      </c>
      <c r="B2179" s="0" t="s">
        <v>2563</v>
      </c>
      <c r="D2179" s="46" t="n">
        <v>46193</v>
      </c>
      <c r="E2179" s="47" t="s">
        <v>61</v>
      </c>
      <c r="F2179" s="48" t="n">
        <v>101825.21</v>
      </c>
      <c r="G2179" s="47" t="s">
        <v>53</v>
      </c>
      <c r="H2179" s="47" t="s">
        <v>47</v>
      </c>
      <c r="I2179" s="47" t="s">
        <v>166</v>
      </c>
      <c r="J2179" s="47" t="s">
        <v>28</v>
      </c>
      <c r="K2179" s="47" t="s">
        <v>33</v>
      </c>
    </row>
    <row r="2180" customFormat="false" ht="15" hidden="false" customHeight="false" outlineLevel="0" collapsed="false">
      <c r="A2180" s="0" t="s">
        <v>3279</v>
      </c>
      <c r="B2180" s="0" t="s">
        <v>1780</v>
      </c>
      <c r="D2180" s="46" t="n">
        <v>45984</v>
      </c>
      <c r="E2180" s="47" t="s">
        <v>62</v>
      </c>
      <c r="F2180" s="48" t="n">
        <v>2659.95</v>
      </c>
      <c r="G2180" s="47" t="s">
        <v>65</v>
      </c>
      <c r="H2180" s="47" t="s">
        <v>39</v>
      </c>
      <c r="I2180" s="47" t="s">
        <v>98</v>
      </c>
      <c r="J2180" s="47" t="s">
        <v>28</v>
      </c>
      <c r="K2180" s="47" t="s">
        <v>33</v>
      </c>
    </row>
    <row r="2181" customFormat="false" ht="15" hidden="false" customHeight="false" outlineLevel="0" collapsed="false">
      <c r="A2181" s="0" t="s">
        <v>3280</v>
      </c>
      <c r="B2181" s="0" t="s">
        <v>2956</v>
      </c>
      <c r="D2181" s="46" t="n">
        <v>45675</v>
      </c>
      <c r="E2181" s="47" t="s">
        <v>61</v>
      </c>
      <c r="F2181" s="48" t="n">
        <v>54378.23</v>
      </c>
      <c r="G2181" s="47" t="s">
        <v>65</v>
      </c>
      <c r="H2181" s="47" t="s">
        <v>46</v>
      </c>
      <c r="I2181" s="47" t="s">
        <v>121</v>
      </c>
      <c r="J2181" s="47" t="s">
        <v>28</v>
      </c>
      <c r="K2181" s="47" t="s">
        <v>34</v>
      </c>
    </row>
    <row r="2182" customFormat="false" ht="15" hidden="false" customHeight="false" outlineLevel="0" collapsed="false">
      <c r="A2182" s="0" t="s">
        <v>3281</v>
      </c>
      <c r="B2182" s="0" t="s">
        <v>1992</v>
      </c>
      <c r="D2182" s="46" t="n">
        <v>46070</v>
      </c>
      <c r="E2182" s="47" t="s">
        <v>58</v>
      </c>
      <c r="F2182" s="48" t="n">
        <v>169124.89</v>
      </c>
      <c r="G2182" s="47" t="s">
        <v>65</v>
      </c>
      <c r="H2182" s="47" t="s">
        <v>45</v>
      </c>
      <c r="I2182" s="47" t="s">
        <v>151</v>
      </c>
      <c r="J2182" s="47" t="s">
        <v>29</v>
      </c>
      <c r="K2182" s="47" t="s">
        <v>34</v>
      </c>
    </row>
    <row r="2183" customFormat="false" ht="15" hidden="false" customHeight="false" outlineLevel="0" collapsed="false">
      <c r="A2183" s="0" t="s">
        <v>3282</v>
      </c>
      <c r="B2183" s="0" t="s">
        <v>3283</v>
      </c>
      <c r="D2183" s="46" t="n">
        <v>45806</v>
      </c>
      <c r="E2183" s="47" t="s">
        <v>61</v>
      </c>
      <c r="F2183" s="48" t="n">
        <v>20161.03</v>
      </c>
      <c r="G2183" s="47" t="s">
        <v>57</v>
      </c>
      <c r="H2183" s="47" t="s">
        <v>46</v>
      </c>
      <c r="I2183" s="47" t="s">
        <v>148</v>
      </c>
      <c r="J2183" s="47" t="s">
        <v>28</v>
      </c>
      <c r="K2183" s="47" t="s">
        <v>33</v>
      </c>
    </row>
    <row r="2184" customFormat="false" ht="15" hidden="false" customHeight="false" outlineLevel="0" collapsed="false">
      <c r="A2184" s="0" t="s">
        <v>3284</v>
      </c>
      <c r="B2184" s="0" t="s">
        <v>538</v>
      </c>
      <c r="C2184" s="0" t="s">
        <v>784</v>
      </c>
      <c r="D2184" s="46" t="n">
        <v>46270</v>
      </c>
      <c r="E2184" s="47" t="s">
        <v>61</v>
      </c>
      <c r="F2184" s="48" t="n">
        <v>161793.83</v>
      </c>
      <c r="G2184" s="47" t="s">
        <v>53</v>
      </c>
      <c r="H2184" s="47" t="s">
        <v>46</v>
      </c>
      <c r="I2184" s="47" t="s">
        <v>242</v>
      </c>
      <c r="J2184" s="47" t="s">
        <v>30</v>
      </c>
      <c r="K2184" s="47" t="s">
        <v>34</v>
      </c>
    </row>
    <row r="2185" customFormat="false" ht="15" hidden="false" customHeight="false" outlineLevel="0" collapsed="false">
      <c r="A2185" s="0" t="s">
        <v>3285</v>
      </c>
      <c r="B2185" s="0" t="s">
        <v>3286</v>
      </c>
      <c r="D2185" s="46" t="n">
        <v>45835</v>
      </c>
      <c r="E2185" s="47" t="s">
        <v>61</v>
      </c>
      <c r="F2185" s="48" t="n">
        <v>2389.23</v>
      </c>
      <c r="G2185" s="47" t="s">
        <v>68</v>
      </c>
      <c r="H2185" s="47" t="s">
        <v>43</v>
      </c>
      <c r="I2185" s="47" t="s">
        <v>117</v>
      </c>
      <c r="J2185" s="47" t="s">
        <v>29</v>
      </c>
      <c r="K2185" s="47" t="s">
        <v>34</v>
      </c>
    </row>
    <row r="2186" customFormat="false" ht="15" hidden="false" customHeight="false" outlineLevel="0" collapsed="false">
      <c r="A2186" s="0" t="s">
        <v>3287</v>
      </c>
      <c r="B2186" s="0" t="s">
        <v>2670</v>
      </c>
      <c r="D2186" s="46" t="n">
        <v>45914</v>
      </c>
      <c r="E2186" s="47" t="s">
        <v>53</v>
      </c>
      <c r="F2186" s="48" t="n">
        <v>3856.25</v>
      </c>
      <c r="G2186" s="47" t="s">
        <v>65</v>
      </c>
      <c r="H2186" s="47" t="s">
        <v>39</v>
      </c>
      <c r="I2186" s="47" t="s">
        <v>145</v>
      </c>
      <c r="J2186" s="47" t="s">
        <v>28</v>
      </c>
      <c r="K2186" s="47" t="s">
        <v>34</v>
      </c>
    </row>
    <row r="2187" customFormat="false" ht="15" hidden="false" customHeight="false" outlineLevel="0" collapsed="false">
      <c r="A2187" s="0" t="s">
        <v>3288</v>
      </c>
      <c r="B2187" s="0" t="s">
        <v>723</v>
      </c>
      <c r="D2187" s="46" t="n">
        <v>45862</v>
      </c>
      <c r="E2187" s="47" t="s">
        <v>55</v>
      </c>
      <c r="F2187" s="48" t="n">
        <v>133752.97</v>
      </c>
      <c r="G2187" s="47" t="s">
        <v>53</v>
      </c>
      <c r="H2187" s="47" t="s">
        <v>48</v>
      </c>
      <c r="I2187" s="47" t="s">
        <v>212</v>
      </c>
      <c r="J2187" s="47" t="s">
        <v>29</v>
      </c>
      <c r="K2187" s="47" t="s">
        <v>34</v>
      </c>
    </row>
    <row r="2188" customFormat="false" ht="15" hidden="false" customHeight="false" outlineLevel="0" collapsed="false">
      <c r="A2188" s="0" t="s">
        <v>3289</v>
      </c>
      <c r="B2188" s="0" t="s">
        <v>873</v>
      </c>
      <c r="D2188" s="46" t="n">
        <v>46223</v>
      </c>
      <c r="E2188" s="47" t="s">
        <v>55</v>
      </c>
      <c r="F2188" s="48" t="n">
        <v>173153.39</v>
      </c>
      <c r="G2188" s="47" t="s">
        <v>53</v>
      </c>
      <c r="H2188" s="47" t="s">
        <v>42</v>
      </c>
      <c r="I2188" s="47" t="s">
        <v>398</v>
      </c>
      <c r="J2188" s="47" t="s">
        <v>28</v>
      </c>
      <c r="K2188" s="47" t="s">
        <v>34</v>
      </c>
    </row>
    <row r="2189" customFormat="false" ht="15" hidden="false" customHeight="false" outlineLevel="0" collapsed="false">
      <c r="A2189" s="0" t="s">
        <v>3290</v>
      </c>
      <c r="B2189" s="0" t="s">
        <v>564</v>
      </c>
      <c r="C2189" s="0" t="s">
        <v>3291</v>
      </c>
      <c r="D2189" s="46" t="n">
        <v>46063</v>
      </c>
      <c r="E2189" s="47" t="s">
        <v>62</v>
      </c>
      <c r="F2189" s="48" t="n">
        <v>160948.06</v>
      </c>
      <c r="G2189" s="47" t="s">
        <v>53</v>
      </c>
      <c r="H2189" s="47" t="s">
        <v>47</v>
      </c>
      <c r="I2189" s="47" t="s">
        <v>245</v>
      </c>
      <c r="J2189" s="47" t="s">
        <v>29</v>
      </c>
      <c r="K2189" s="47" t="s">
        <v>33</v>
      </c>
    </row>
    <row r="2190" customFormat="false" ht="15" hidden="false" customHeight="false" outlineLevel="0" collapsed="false">
      <c r="A2190" s="0" t="s">
        <v>3292</v>
      </c>
      <c r="B2190" s="0" t="s">
        <v>2099</v>
      </c>
      <c r="D2190" s="46" t="n">
        <v>45856</v>
      </c>
      <c r="E2190" s="47" t="s">
        <v>55</v>
      </c>
      <c r="F2190" s="48" t="n">
        <v>118450.76</v>
      </c>
      <c r="G2190" s="47" t="s">
        <v>66</v>
      </c>
      <c r="H2190" s="47" t="s">
        <v>44</v>
      </c>
      <c r="I2190" s="47" t="s">
        <v>132</v>
      </c>
      <c r="J2190" s="47" t="s">
        <v>28</v>
      </c>
      <c r="K2190" s="47" t="s">
        <v>34</v>
      </c>
    </row>
    <row r="2191" customFormat="false" ht="15" hidden="false" customHeight="false" outlineLevel="0" collapsed="false">
      <c r="A2191" s="0" t="s">
        <v>3293</v>
      </c>
      <c r="B2191" s="0" t="s">
        <v>753</v>
      </c>
      <c r="D2191" s="46" t="n">
        <v>45771</v>
      </c>
      <c r="E2191" s="47" t="s">
        <v>59</v>
      </c>
      <c r="F2191" s="48" t="n">
        <v>106440</v>
      </c>
      <c r="G2191" s="47" t="s">
        <v>65</v>
      </c>
      <c r="H2191" s="47" t="s">
        <v>46</v>
      </c>
      <c r="I2191" s="47" t="s">
        <v>242</v>
      </c>
      <c r="J2191" s="47" t="s">
        <v>28</v>
      </c>
      <c r="K2191" s="47" t="s">
        <v>34</v>
      </c>
    </row>
    <row r="2192" customFormat="false" ht="15" hidden="false" customHeight="false" outlineLevel="0" collapsed="false">
      <c r="A2192" s="0" t="s">
        <v>3294</v>
      </c>
      <c r="B2192" s="0" t="s">
        <v>740</v>
      </c>
      <c r="D2192" s="46" t="n">
        <v>45866</v>
      </c>
      <c r="E2192" s="47" t="s">
        <v>62</v>
      </c>
      <c r="F2192" s="48" t="n">
        <v>25057.65</v>
      </c>
      <c r="G2192" s="47" t="s">
        <v>53</v>
      </c>
      <c r="H2192" s="47" t="s">
        <v>44</v>
      </c>
      <c r="I2192" s="47" t="s">
        <v>132</v>
      </c>
      <c r="J2192" s="47" t="s">
        <v>28</v>
      </c>
      <c r="K2192" s="47" t="s">
        <v>34</v>
      </c>
    </row>
    <row r="2193" customFormat="false" ht="15" hidden="false" customHeight="false" outlineLevel="0" collapsed="false">
      <c r="A2193" s="0" t="s">
        <v>3295</v>
      </c>
      <c r="B2193" s="0" t="s">
        <v>2201</v>
      </c>
      <c r="C2193" s="0" t="s">
        <v>3296</v>
      </c>
      <c r="D2193" s="46" t="n">
        <v>45886</v>
      </c>
      <c r="E2193" s="47" t="s">
        <v>61</v>
      </c>
      <c r="F2193" s="48" t="n">
        <v>62328.64</v>
      </c>
      <c r="G2193" s="47" t="s">
        <v>66</v>
      </c>
      <c r="H2193" s="47" t="s">
        <v>46</v>
      </c>
      <c r="I2193" s="47" t="s">
        <v>121</v>
      </c>
      <c r="J2193" s="47" t="s">
        <v>28</v>
      </c>
      <c r="K2193" s="47" t="s">
        <v>34</v>
      </c>
    </row>
    <row r="2194" customFormat="false" ht="15" hidden="false" customHeight="false" outlineLevel="0" collapsed="false">
      <c r="A2194" s="0" t="s">
        <v>3297</v>
      </c>
      <c r="B2194" s="0" t="s">
        <v>100</v>
      </c>
      <c r="D2194" s="46" t="n">
        <v>45940</v>
      </c>
      <c r="E2194" s="47" t="s">
        <v>62</v>
      </c>
      <c r="F2194" s="48" t="n">
        <v>155611.9</v>
      </c>
      <c r="G2194" s="47" t="s">
        <v>66</v>
      </c>
      <c r="H2194" s="47" t="s">
        <v>43</v>
      </c>
      <c r="I2194" s="47" t="s">
        <v>102</v>
      </c>
      <c r="J2194" s="47" t="s">
        <v>28</v>
      </c>
      <c r="K2194" s="47" t="s">
        <v>34</v>
      </c>
    </row>
    <row r="2195" customFormat="false" ht="15" hidden="false" customHeight="false" outlineLevel="0" collapsed="false">
      <c r="A2195" s="0" t="s">
        <v>3298</v>
      </c>
      <c r="B2195" s="0" t="s">
        <v>1361</v>
      </c>
      <c r="D2195" s="46" t="n">
        <v>45961</v>
      </c>
      <c r="E2195" s="47" t="s">
        <v>55</v>
      </c>
      <c r="F2195" s="48" t="n">
        <v>31486.18</v>
      </c>
      <c r="G2195" s="47" t="s">
        <v>68</v>
      </c>
      <c r="H2195" s="47" t="s">
        <v>46</v>
      </c>
      <c r="I2195" s="47" t="s">
        <v>148</v>
      </c>
      <c r="J2195" s="47" t="s">
        <v>28</v>
      </c>
      <c r="K2195" s="47" t="s">
        <v>34</v>
      </c>
    </row>
    <row r="2196" customFormat="false" ht="15" hidden="false" customHeight="false" outlineLevel="0" collapsed="false">
      <c r="A2196" s="0" t="s">
        <v>3299</v>
      </c>
      <c r="B2196" s="0" t="s">
        <v>315</v>
      </c>
      <c r="D2196" s="46" t="n">
        <v>46036</v>
      </c>
      <c r="E2196" s="47" t="s">
        <v>53</v>
      </c>
      <c r="F2196" s="48" t="n">
        <v>35078.48</v>
      </c>
      <c r="G2196" s="47" t="s">
        <v>57</v>
      </c>
      <c r="H2196" s="47" t="s">
        <v>41</v>
      </c>
      <c r="I2196" s="47" t="s">
        <v>86</v>
      </c>
      <c r="J2196" s="47" t="s">
        <v>28</v>
      </c>
      <c r="K2196" s="47" t="s">
        <v>33</v>
      </c>
    </row>
    <row r="2197" customFormat="false" ht="15" hidden="false" customHeight="false" outlineLevel="0" collapsed="false">
      <c r="A2197" s="0" t="s">
        <v>3300</v>
      </c>
      <c r="B2197" s="0" t="s">
        <v>564</v>
      </c>
      <c r="D2197" s="46" t="n">
        <v>45797</v>
      </c>
      <c r="E2197" s="47" t="s">
        <v>55</v>
      </c>
      <c r="F2197" s="48" t="n">
        <v>68433.58</v>
      </c>
      <c r="G2197" s="47" t="s">
        <v>65</v>
      </c>
      <c r="H2197" s="47" t="s">
        <v>47</v>
      </c>
      <c r="I2197" s="47" t="s">
        <v>245</v>
      </c>
      <c r="J2197" s="47" t="s">
        <v>28</v>
      </c>
      <c r="K2197" s="47" t="s">
        <v>34</v>
      </c>
    </row>
    <row r="2198" customFormat="false" ht="15" hidden="false" customHeight="false" outlineLevel="0" collapsed="false">
      <c r="A2198" s="0" t="s">
        <v>3301</v>
      </c>
      <c r="B2198" s="0" t="s">
        <v>1116</v>
      </c>
      <c r="D2198" s="46" t="n">
        <v>45990</v>
      </c>
      <c r="E2198" s="47" t="s">
        <v>60</v>
      </c>
      <c r="F2198" s="48" t="n">
        <v>143945.09</v>
      </c>
      <c r="G2198" s="47" t="s">
        <v>66</v>
      </c>
      <c r="H2198" s="47" t="s">
        <v>39</v>
      </c>
      <c r="I2198" s="47" t="s">
        <v>177</v>
      </c>
      <c r="J2198" s="47" t="s">
        <v>28</v>
      </c>
      <c r="K2198" s="47" t="s">
        <v>33</v>
      </c>
    </row>
    <row r="2199" customFormat="false" ht="15" hidden="false" customHeight="false" outlineLevel="0" collapsed="false">
      <c r="A2199" s="0" t="s">
        <v>3302</v>
      </c>
      <c r="B2199" s="0" t="s">
        <v>3303</v>
      </c>
      <c r="D2199" s="46" t="n">
        <v>46087</v>
      </c>
      <c r="E2199" s="47" t="s">
        <v>58</v>
      </c>
      <c r="F2199" s="48" t="n">
        <v>85439.03</v>
      </c>
      <c r="G2199" s="47" t="s">
        <v>53</v>
      </c>
      <c r="H2199" s="47" t="s">
        <v>44</v>
      </c>
      <c r="I2199" s="47" t="s">
        <v>132</v>
      </c>
      <c r="J2199" s="47" t="s">
        <v>28</v>
      </c>
      <c r="K2199" s="47" t="s">
        <v>34</v>
      </c>
    </row>
    <row r="2200" customFormat="false" ht="15" hidden="false" customHeight="false" outlineLevel="0" collapsed="false">
      <c r="A2200" s="0" t="s">
        <v>3304</v>
      </c>
      <c r="B2200" s="0" t="s">
        <v>830</v>
      </c>
      <c r="D2200" s="46" t="n">
        <v>46085</v>
      </c>
      <c r="E2200" s="47" t="s">
        <v>53</v>
      </c>
      <c r="F2200" s="48" t="n">
        <v>91084.7</v>
      </c>
      <c r="G2200" s="47" t="s">
        <v>68</v>
      </c>
      <c r="H2200" s="47" t="s">
        <v>48</v>
      </c>
      <c r="I2200" s="47" t="s">
        <v>212</v>
      </c>
      <c r="J2200" s="47" t="s">
        <v>28</v>
      </c>
      <c r="K2200" s="47" t="s">
        <v>34</v>
      </c>
    </row>
    <row r="2201" customFormat="false" ht="15" hidden="false" customHeight="false" outlineLevel="0" collapsed="false">
      <c r="A2201" s="0" t="s">
        <v>3305</v>
      </c>
      <c r="B2201" s="0" t="s">
        <v>468</v>
      </c>
      <c r="D2201" s="46" t="n">
        <v>46147</v>
      </c>
      <c r="E2201" s="47" t="s">
        <v>55</v>
      </c>
      <c r="F2201" s="48" t="n">
        <v>185724.59</v>
      </c>
      <c r="G2201" s="47" t="s">
        <v>66</v>
      </c>
      <c r="H2201" s="47" t="s">
        <v>40</v>
      </c>
      <c r="I2201" s="47" t="s">
        <v>83</v>
      </c>
      <c r="J2201" s="47" t="s">
        <v>28</v>
      </c>
      <c r="K2201" s="47" t="s">
        <v>33</v>
      </c>
    </row>
    <row r="2202" customFormat="false" ht="15" hidden="false" customHeight="false" outlineLevel="0" collapsed="false">
      <c r="A2202" s="0" t="s">
        <v>3306</v>
      </c>
      <c r="B2202" s="0" t="s">
        <v>1892</v>
      </c>
      <c r="D2202" s="46" t="n">
        <v>46174</v>
      </c>
      <c r="E2202" s="47" t="s">
        <v>62</v>
      </c>
      <c r="F2202" s="48" t="n">
        <v>20187.95</v>
      </c>
      <c r="G2202" s="47" t="s">
        <v>66</v>
      </c>
      <c r="H2202" s="47" t="s">
        <v>44</v>
      </c>
      <c r="I2202" s="47" t="s">
        <v>226</v>
      </c>
      <c r="J2202" s="47" t="s">
        <v>28</v>
      </c>
      <c r="K2202" s="47" t="s">
        <v>34</v>
      </c>
    </row>
    <row r="2203" customFormat="false" ht="15" hidden="false" customHeight="false" outlineLevel="0" collapsed="false">
      <c r="A2203" s="0" t="s">
        <v>3307</v>
      </c>
      <c r="B2203" s="0" t="s">
        <v>2834</v>
      </c>
      <c r="D2203" s="46" t="n">
        <v>46104</v>
      </c>
      <c r="E2203" s="47" t="s">
        <v>59</v>
      </c>
      <c r="F2203" s="48" t="n">
        <v>114482.11</v>
      </c>
      <c r="G2203" s="47" t="s">
        <v>57</v>
      </c>
      <c r="H2203" s="47" t="s">
        <v>40</v>
      </c>
      <c r="I2203" s="47" t="s">
        <v>83</v>
      </c>
      <c r="J2203" s="47" t="s">
        <v>28</v>
      </c>
      <c r="K2203" s="47" t="s">
        <v>33</v>
      </c>
    </row>
    <row r="2204" customFormat="false" ht="15" hidden="false" customHeight="false" outlineLevel="0" collapsed="false">
      <c r="A2204" s="0" t="s">
        <v>3308</v>
      </c>
      <c r="B2204" s="0" t="s">
        <v>2287</v>
      </c>
      <c r="D2204" s="46" t="n">
        <v>45778</v>
      </c>
      <c r="E2204" s="47" t="s">
        <v>60</v>
      </c>
      <c r="F2204" s="48" t="n">
        <v>154549.95</v>
      </c>
      <c r="G2204" s="47" t="s">
        <v>65</v>
      </c>
      <c r="H2204" s="47" t="s">
        <v>40</v>
      </c>
      <c r="I2204" s="47" t="s">
        <v>89</v>
      </c>
      <c r="J2204" s="47" t="s">
        <v>29</v>
      </c>
      <c r="K2204" s="47" t="s">
        <v>33</v>
      </c>
    </row>
    <row r="2205" customFormat="false" ht="15" hidden="false" customHeight="false" outlineLevel="0" collapsed="false">
      <c r="A2205" s="0" t="s">
        <v>3309</v>
      </c>
      <c r="B2205" s="0" t="s">
        <v>141</v>
      </c>
      <c r="D2205" s="46" t="n">
        <v>46216</v>
      </c>
      <c r="E2205" s="47" t="s">
        <v>60</v>
      </c>
      <c r="F2205" s="48" t="n">
        <v>71267.68</v>
      </c>
      <c r="G2205" s="47" t="s">
        <v>65</v>
      </c>
      <c r="H2205" s="47" t="s">
        <v>48</v>
      </c>
      <c r="I2205" s="47" t="s">
        <v>111</v>
      </c>
      <c r="J2205" s="47" t="s">
        <v>28</v>
      </c>
      <c r="K2205" s="47" t="s">
        <v>34</v>
      </c>
    </row>
    <row r="2206" customFormat="false" ht="15" hidden="false" customHeight="false" outlineLevel="0" collapsed="false">
      <c r="A2206" s="0" t="s">
        <v>3310</v>
      </c>
      <c r="B2206" s="0" t="s">
        <v>286</v>
      </c>
      <c r="D2206" s="46" t="n">
        <v>46068</v>
      </c>
      <c r="E2206" s="47" t="s">
        <v>58</v>
      </c>
      <c r="F2206" s="48" t="n">
        <v>171493.62</v>
      </c>
      <c r="G2206" s="47" t="s">
        <v>65</v>
      </c>
      <c r="H2206" s="47" t="s">
        <v>46</v>
      </c>
      <c r="I2206" s="47" t="s">
        <v>121</v>
      </c>
      <c r="J2206" s="47" t="s">
        <v>28</v>
      </c>
      <c r="K2206" s="47" t="s">
        <v>34</v>
      </c>
    </row>
    <row r="2207" customFormat="false" ht="15" hidden="false" customHeight="false" outlineLevel="0" collapsed="false">
      <c r="A2207" s="0" t="s">
        <v>3311</v>
      </c>
      <c r="B2207" s="0" t="s">
        <v>1754</v>
      </c>
      <c r="D2207" s="46" t="n">
        <v>45860</v>
      </c>
      <c r="E2207" s="47" t="s">
        <v>58</v>
      </c>
      <c r="F2207" s="48" t="n">
        <v>160980.92</v>
      </c>
      <c r="G2207" s="47" t="s">
        <v>66</v>
      </c>
      <c r="H2207" s="47" t="s">
        <v>47</v>
      </c>
      <c r="I2207" s="47" t="s">
        <v>166</v>
      </c>
      <c r="J2207" s="47" t="s">
        <v>28</v>
      </c>
      <c r="K2207" s="47" t="s">
        <v>33</v>
      </c>
    </row>
    <row r="2208" customFormat="false" ht="15" hidden="false" customHeight="false" outlineLevel="0" collapsed="false">
      <c r="A2208" s="0" t="s">
        <v>3312</v>
      </c>
      <c r="B2208" s="0" t="s">
        <v>2109</v>
      </c>
      <c r="D2208" s="46" t="n">
        <v>45926</v>
      </c>
      <c r="E2208" s="47" t="s">
        <v>53</v>
      </c>
      <c r="F2208" s="48" t="n">
        <v>11847.88</v>
      </c>
      <c r="G2208" s="47" t="s">
        <v>66</v>
      </c>
      <c r="H2208" s="47" t="s">
        <v>42</v>
      </c>
      <c r="I2208" s="47" t="s">
        <v>398</v>
      </c>
      <c r="J2208" s="47" t="s">
        <v>28</v>
      </c>
      <c r="K2208" s="47" t="s">
        <v>33</v>
      </c>
    </row>
    <row r="2209" customFormat="false" ht="15" hidden="false" customHeight="false" outlineLevel="0" collapsed="false">
      <c r="A2209" s="0" t="s">
        <v>3313</v>
      </c>
      <c r="B2209" s="0" t="s">
        <v>2159</v>
      </c>
      <c r="D2209" s="46" t="n">
        <v>46290</v>
      </c>
      <c r="E2209" s="47" t="s">
        <v>61</v>
      </c>
      <c r="F2209" s="48" t="n">
        <v>113298</v>
      </c>
      <c r="G2209" s="47" t="s">
        <v>53</v>
      </c>
      <c r="H2209" s="47" t="s">
        <v>48</v>
      </c>
      <c r="I2209" s="47" t="s">
        <v>114</v>
      </c>
      <c r="J2209" s="47" t="s">
        <v>28</v>
      </c>
      <c r="K2209" s="47" t="s">
        <v>33</v>
      </c>
    </row>
    <row r="2210" customFormat="false" ht="15" hidden="false" customHeight="false" outlineLevel="0" collapsed="false">
      <c r="A2210" s="0" t="s">
        <v>3314</v>
      </c>
      <c r="B2210" s="0" t="s">
        <v>1780</v>
      </c>
      <c r="D2210" s="46" t="n">
        <v>45700</v>
      </c>
      <c r="E2210" s="47" t="s">
        <v>55</v>
      </c>
      <c r="F2210" s="48" t="n">
        <v>96562.16</v>
      </c>
      <c r="G2210" s="47" t="s">
        <v>66</v>
      </c>
      <c r="H2210" s="47" t="s">
        <v>39</v>
      </c>
      <c r="I2210" s="47" t="s">
        <v>98</v>
      </c>
      <c r="J2210" s="47" t="s">
        <v>28</v>
      </c>
      <c r="K2210" s="47" t="s">
        <v>34</v>
      </c>
    </row>
    <row r="2211" customFormat="false" ht="15" hidden="false" customHeight="false" outlineLevel="0" collapsed="false">
      <c r="A2211" s="0" t="s">
        <v>3315</v>
      </c>
      <c r="B2211" s="0" t="s">
        <v>147</v>
      </c>
      <c r="D2211" s="46" t="n">
        <v>46254</v>
      </c>
      <c r="E2211" s="47" t="s">
        <v>53</v>
      </c>
      <c r="F2211" s="48" t="n">
        <v>101181</v>
      </c>
      <c r="G2211" s="47" t="s">
        <v>57</v>
      </c>
      <c r="H2211" s="47" t="s">
        <v>46</v>
      </c>
      <c r="I2211" s="47" t="s">
        <v>148</v>
      </c>
      <c r="J2211" s="47" t="s">
        <v>28</v>
      </c>
      <c r="K2211" s="47" t="s">
        <v>33</v>
      </c>
    </row>
    <row r="2212" customFormat="false" ht="15" hidden="false" customHeight="false" outlineLevel="0" collapsed="false">
      <c r="A2212" s="0" t="s">
        <v>3316</v>
      </c>
      <c r="B2212" s="0" t="s">
        <v>339</v>
      </c>
      <c r="D2212" s="46" t="n">
        <v>45869</v>
      </c>
      <c r="E2212" s="47" t="s">
        <v>62</v>
      </c>
      <c r="F2212" s="48" t="n">
        <v>101089.99</v>
      </c>
      <c r="G2212" s="47" t="s">
        <v>66</v>
      </c>
      <c r="H2212" s="47" t="s">
        <v>47</v>
      </c>
      <c r="I2212" s="47" t="s">
        <v>108</v>
      </c>
      <c r="J2212" s="47" t="s">
        <v>28</v>
      </c>
      <c r="K2212" s="47" t="s">
        <v>33</v>
      </c>
    </row>
    <row r="2213" customFormat="false" ht="15" hidden="false" customHeight="false" outlineLevel="0" collapsed="false">
      <c r="A2213" s="0" t="s">
        <v>3317</v>
      </c>
      <c r="B2213" s="0" t="s">
        <v>547</v>
      </c>
      <c r="D2213" s="46" t="n">
        <v>45832</v>
      </c>
      <c r="E2213" s="47" t="s">
        <v>60</v>
      </c>
      <c r="F2213" s="48" t="n">
        <v>34808.2</v>
      </c>
      <c r="G2213" s="47" t="s">
        <v>68</v>
      </c>
      <c r="H2213" s="47" t="s">
        <v>47</v>
      </c>
      <c r="I2213" s="47" t="s">
        <v>245</v>
      </c>
      <c r="J2213" s="47" t="s">
        <v>28</v>
      </c>
      <c r="K2213" s="47" t="s">
        <v>33</v>
      </c>
    </row>
    <row r="2214" customFormat="false" ht="15" hidden="false" customHeight="false" outlineLevel="0" collapsed="false">
      <c r="A2214" s="0" t="s">
        <v>3318</v>
      </c>
      <c r="B2214" s="0" t="s">
        <v>1207</v>
      </c>
      <c r="D2214" s="46" t="n">
        <v>45844</v>
      </c>
      <c r="E2214" s="47" t="s">
        <v>62</v>
      </c>
      <c r="F2214" s="48" t="n">
        <v>19341.19</v>
      </c>
      <c r="G2214" s="47" t="s">
        <v>57</v>
      </c>
      <c r="H2214" s="47" t="s">
        <v>45</v>
      </c>
      <c r="I2214" s="47" t="s">
        <v>151</v>
      </c>
      <c r="J2214" s="47" t="s">
        <v>29</v>
      </c>
      <c r="K2214" s="47" t="s">
        <v>33</v>
      </c>
    </row>
    <row r="2215" customFormat="false" ht="15" hidden="false" customHeight="false" outlineLevel="0" collapsed="false">
      <c r="A2215" s="0" t="s">
        <v>3319</v>
      </c>
      <c r="B2215" s="0" t="s">
        <v>1197</v>
      </c>
      <c r="D2215" s="46" t="n">
        <v>46131</v>
      </c>
      <c r="E2215" s="47" t="s">
        <v>58</v>
      </c>
      <c r="F2215" s="48" t="n">
        <v>153288.64</v>
      </c>
      <c r="G2215" s="47" t="s">
        <v>53</v>
      </c>
      <c r="H2215" s="47" t="s">
        <v>41</v>
      </c>
      <c r="I2215" s="47" t="s">
        <v>272</v>
      </c>
      <c r="J2215" s="47" t="s">
        <v>28</v>
      </c>
      <c r="K2215" s="47" t="s">
        <v>34</v>
      </c>
    </row>
    <row r="2216" customFormat="false" ht="15" hidden="false" customHeight="false" outlineLevel="0" collapsed="false">
      <c r="A2216" s="0" t="s">
        <v>3320</v>
      </c>
      <c r="B2216" s="0" t="s">
        <v>463</v>
      </c>
      <c r="D2216" s="46" t="n">
        <v>46109</v>
      </c>
      <c r="E2216" s="47" t="s">
        <v>53</v>
      </c>
      <c r="F2216" s="48" t="n">
        <v>132094.17</v>
      </c>
      <c r="G2216" s="47" t="s">
        <v>53</v>
      </c>
      <c r="H2216" s="47" t="s">
        <v>40</v>
      </c>
      <c r="I2216" s="47" t="s">
        <v>83</v>
      </c>
      <c r="J2216" s="47" t="s">
        <v>28</v>
      </c>
      <c r="K2216" s="47" t="s">
        <v>33</v>
      </c>
    </row>
    <row r="2217" customFormat="false" ht="15" hidden="false" customHeight="false" outlineLevel="0" collapsed="false">
      <c r="A2217" s="0" t="s">
        <v>3321</v>
      </c>
      <c r="B2217" s="0" t="s">
        <v>3322</v>
      </c>
      <c r="D2217" s="46" t="n">
        <v>46028</v>
      </c>
      <c r="E2217" s="47" t="s">
        <v>62</v>
      </c>
      <c r="F2217" s="48" t="n">
        <v>194006.44</v>
      </c>
      <c r="G2217" s="47" t="s">
        <v>65</v>
      </c>
      <c r="H2217" s="47" t="s">
        <v>42</v>
      </c>
      <c r="I2217" s="47" t="s">
        <v>105</v>
      </c>
      <c r="J2217" s="47" t="s">
        <v>28</v>
      </c>
      <c r="K2217" s="47" t="s">
        <v>34</v>
      </c>
    </row>
    <row r="2218" customFormat="false" ht="15" hidden="false" customHeight="false" outlineLevel="0" collapsed="false">
      <c r="A2218" s="0" t="s">
        <v>3323</v>
      </c>
      <c r="B2218" s="0" t="s">
        <v>1357</v>
      </c>
      <c r="D2218" s="46" t="n">
        <v>46292</v>
      </c>
      <c r="E2218" s="47" t="s">
        <v>58</v>
      </c>
      <c r="F2218" s="48" t="n">
        <v>66731.48</v>
      </c>
      <c r="G2218" s="47" t="s">
        <v>53</v>
      </c>
      <c r="H2218" s="47" t="s">
        <v>46</v>
      </c>
      <c r="I2218" s="47" t="s">
        <v>121</v>
      </c>
      <c r="J2218" s="47" t="s">
        <v>28</v>
      </c>
      <c r="K2218" s="47" t="s">
        <v>33</v>
      </c>
    </row>
    <row r="2219" customFormat="false" ht="15" hidden="false" customHeight="false" outlineLevel="0" collapsed="false">
      <c r="A2219" s="0" t="s">
        <v>3324</v>
      </c>
      <c r="B2219" s="0" t="s">
        <v>976</v>
      </c>
      <c r="D2219" s="46" t="n">
        <v>46213</v>
      </c>
      <c r="E2219" s="47" t="s">
        <v>60</v>
      </c>
      <c r="F2219" s="48" t="n">
        <v>61940.73</v>
      </c>
      <c r="G2219" s="47" t="s">
        <v>66</v>
      </c>
      <c r="H2219" s="47" t="s">
        <v>46</v>
      </c>
      <c r="I2219" s="47" t="s">
        <v>242</v>
      </c>
      <c r="J2219" s="47" t="s">
        <v>28</v>
      </c>
      <c r="K2219" s="47" t="s">
        <v>34</v>
      </c>
    </row>
    <row r="2220" customFormat="false" ht="15" hidden="false" customHeight="false" outlineLevel="0" collapsed="false">
      <c r="A2220" s="0" t="s">
        <v>3325</v>
      </c>
      <c r="B2220" s="0" t="s">
        <v>656</v>
      </c>
      <c r="D2220" s="46" t="n">
        <v>45940</v>
      </c>
      <c r="E2220" s="47" t="s">
        <v>53</v>
      </c>
      <c r="F2220" s="48" t="n">
        <v>21741.3</v>
      </c>
      <c r="G2220" s="47" t="s">
        <v>66</v>
      </c>
      <c r="H2220" s="47" t="s">
        <v>45</v>
      </c>
      <c r="I2220" s="47" t="s">
        <v>151</v>
      </c>
      <c r="J2220" s="47" t="s">
        <v>28</v>
      </c>
      <c r="K2220" s="47" t="s">
        <v>33</v>
      </c>
    </row>
    <row r="2221" customFormat="false" ht="15" hidden="false" customHeight="false" outlineLevel="0" collapsed="false">
      <c r="A2221" s="0" t="s">
        <v>3326</v>
      </c>
      <c r="B2221" s="0" t="s">
        <v>3327</v>
      </c>
      <c r="D2221" s="46" t="n">
        <v>46072</v>
      </c>
      <c r="E2221" s="47" t="s">
        <v>55</v>
      </c>
      <c r="F2221" s="48" t="n">
        <v>37321.77</v>
      </c>
      <c r="G2221" s="47" t="s">
        <v>57</v>
      </c>
      <c r="H2221" s="47" t="s">
        <v>45</v>
      </c>
      <c r="I2221" s="47" t="s">
        <v>151</v>
      </c>
      <c r="J2221" s="47" t="s">
        <v>28</v>
      </c>
      <c r="K2221" s="47" t="s">
        <v>33</v>
      </c>
    </row>
    <row r="2222" customFormat="false" ht="15" hidden="false" customHeight="false" outlineLevel="0" collapsed="false">
      <c r="A2222" s="0" t="s">
        <v>3328</v>
      </c>
      <c r="B2222" s="0" t="s">
        <v>1415</v>
      </c>
      <c r="D2222" s="46" t="n">
        <v>46179</v>
      </c>
      <c r="E2222" s="47" t="s">
        <v>53</v>
      </c>
      <c r="F2222" s="48" t="n">
        <v>83030.21</v>
      </c>
      <c r="G2222" s="47" t="s">
        <v>65</v>
      </c>
      <c r="H2222" s="47" t="s">
        <v>45</v>
      </c>
      <c r="I2222" s="47" t="s">
        <v>151</v>
      </c>
      <c r="J2222" s="47" t="s">
        <v>28</v>
      </c>
      <c r="K2222" s="47" t="s">
        <v>34</v>
      </c>
    </row>
    <row r="2223" customFormat="false" ht="15" hidden="false" customHeight="false" outlineLevel="0" collapsed="false">
      <c r="A2223" s="0" t="s">
        <v>3329</v>
      </c>
      <c r="B2223" s="0" t="s">
        <v>283</v>
      </c>
      <c r="D2223" s="46" t="n">
        <v>45911</v>
      </c>
      <c r="E2223" s="47" t="s">
        <v>60</v>
      </c>
      <c r="F2223" s="48" t="n">
        <v>50060.21</v>
      </c>
      <c r="G2223" s="47" t="s">
        <v>66</v>
      </c>
      <c r="H2223" s="47" t="s">
        <v>43</v>
      </c>
      <c r="I2223" s="47" t="s">
        <v>117</v>
      </c>
      <c r="J2223" s="47" t="s">
        <v>28</v>
      </c>
      <c r="K2223" s="47" t="s">
        <v>34</v>
      </c>
    </row>
    <row r="2224" customFormat="false" ht="15" hidden="false" customHeight="false" outlineLevel="0" collapsed="false">
      <c r="A2224" s="0" t="s">
        <v>3330</v>
      </c>
      <c r="B2224" s="0" t="s">
        <v>3331</v>
      </c>
      <c r="D2224" s="46" t="n">
        <v>46233</v>
      </c>
      <c r="E2224" s="47" t="s">
        <v>58</v>
      </c>
      <c r="F2224" s="48" t="n">
        <v>95724.54</v>
      </c>
      <c r="G2224" s="47" t="s">
        <v>66</v>
      </c>
      <c r="H2224" s="47" t="s">
        <v>47</v>
      </c>
      <c r="I2224" s="47" t="s">
        <v>108</v>
      </c>
      <c r="J2224" s="47" t="s">
        <v>28</v>
      </c>
      <c r="K2224" s="47" t="s">
        <v>33</v>
      </c>
    </row>
    <row r="2225" customFormat="false" ht="15" hidden="false" customHeight="false" outlineLevel="0" collapsed="false">
      <c r="A2225" s="0" t="s">
        <v>3332</v>
      </c>
      <c r="B2225" s="0" t="s">
        <v>791</v>
      </c>
      <c r="D2225" s="46" t="n">
        <v>45780</v>
      </c>
      <c r="E2225" s="47" t="s">
        <v>55</v>
      </c>
      <c r="F2225" s="48" t="n">
        <v>183949.18</v>
      </c>
      <c r="G2225" s="47" t="s">
        <v>68</v>
      </c>
      <c r="H2225" s="47" t="s">
        <v>43</v>
      </c>
      <c r="I2225" s="47" t="s">
        <v>102</v>
      </c>
      <c r="J2225" s="47" t="s">
        <v>28</v>
      </c>
      <c r="K2225" s="47" t="s">
        <v>33</v>
      </c>
    </row>
    <row r="2226" customFormat="false" ht="15" hidden="false" customHeight="false" outlineLevel="0" collapsed="false">
      <c r="A2226" s="0" t="s">
        <v>3333</v>
      </c>
      <c r="B2226" s="0" t="s">
        <v>2255</v>
      </c>
      <c r="D2226" s="46" t="n">
        <v>46051</v>
      </c>
      <c r="E2226" s="47" t="s">
        <v>62</v>
      </c>
      <c r="F2226" s="48" t="n">
        <v>37130.64</v>
      </c>
      <c r="G2226" s="47" t="s">
        <v>66</v>
      </c>
      <c r="H2226" s="47" t="s">
        <v>46</v>
      </c>
      <c r="I2226" s="47" t="s">
        <v>242</v>
      </c>
      <c r="J2226" s="47" t="s">
        <v>28</v>
      </c>
      <c r="K2226" s="47" t="s">
        <v>34</v>
      </c>
    </row>
    <row r="2227" customFormat="false" ht="15" hidden="false" customHeight="false" outlineLevel="0" collapsed="false">
      <c r="A2227" s="0" t="s">
        <v>3334</v>
      </c>
      <c r="B2227" s="0" t="s">
        <v>1377</v>
      </c>
      <c r="C2227" s="0" t="s">
        <v>3335</v>
      </c>
      <c r="D2227" s="46" t="n">
        <v>46051</v>
      </c>
      <c r="E2227" s="47" t="s">
        <v>61</v>
      </c>
      <c r="F2227" s="48" t="n">
        <v>197670.74</v>
      </c>
      <c r="G2227" s="47" t="s">
        <v>66</v>
      </c>
      <c r="H2227" s="47" t="s">
        <v>42</v>
      </c>
      <c r="I2227" s="47" t="s">
        <v>398</v>
      </c>
      <c r="J2227" s="47" t="s">
        <v>28</v>
      </c>
      <c r="K2227" s="47" t="s">
        <v>34</v>
      </c>
    </row>
    <row r="2228" customFormat="false" ht="15" hidden="false" customHeight="false" outlineLevel="0" collapsed="false">
      <c r="A2228" s="0" t="s">
        <v>3336</v>
      </c>
      <c r="B2228" s="0" t="s">
        <v>1493</v>
      </c>
      <c r="D2228" s="46" t="n">
        <v>46213</v>
      </c>
      <c r="E2228" s="47" t="s">
        <v>62</v>
      </c>
      <c r="F2228" s="48" t="n">
        <v>105183.47</v>
      </c>
      <c r="G2228" s="47" t="s">
        <v>57</v>
      </c>
      <c r="H2228" s="47" t="s">
        <v>39</v>
      </c>
      <c r="I2228" s="47" t="s">
        <v>145</v>
      </c>
      <c r="J2228" s="47" t="s">
        <v>28</v>
      </c>
      <c r="K2228" s="47" t="s">
        <v>33</v>
      </c>
    </row>
    <row r="2229" customFormat="false" ht="15" hidden="false" customHeight="false" outlineLevel="0" collapsed="false">
      <c r="A2229" s="0" t="s">
        <v>3337</v>
      </c>
      <c r="B2229" s="0" t="s">
        <v>3338</v>
      </c>
      <c r="D2229" s="46" t="n">
        <v>46076</v>
      </c>
      <c r="E2229" s="47" t="s">
        <v>60</v>
      </c>
      <c r="F2229" s="48" t="n">
        <v>140881.75</v>
      </c>
      <c r="G2229" s="47" t="s">
        <v>57</v>
      </c>
      <c r="H2229" s="47" t="s">
        <v>39</v>
      </c>
      <c r="I2229" s="47" t="s">
        <v>145</v>
      </c>
      <c r="J2229" s="47" t="s">
        <v>29</v>
      </c>
      <c r="K2229" s="47" t="s">
        <v>34</v>
      </c>
    </row>
    <row r="2230" customFormat="false" ht="15" hidden="false" customHeight="false" outlineLevel="0" collapsed="false">
      <c r="A2230" s="0" t="s">
        <v>3339</v>
      </c>
      <c r="B2230" s="0" t="s">
        <v>1293</v>
      </c>
      <c r="D2230" s="46" t="n">
        <v>45933</v>
      </c>
      <c r="E2230" s="47" t="s">
        <v>58</v>
      </c>
      <c r="F2230" s="48" t="n">
        <v>76986.05</v>
      </c>
      <c r="G2230" s="47" t="s">
        <v>68</v>
      </c>
      <c r="H2230" s="47" t="s">
        <v>43</v>
      </c>
      <c r="I2230" s="47" t="s">
        <v>102</v>
      </c>
      <c r="J2230" s="47" t="s">
        <v>28</v>
      </c>
      <c r="K2230" s="47" t="s">
        <v>34</v>
      </c>
    </row>
    <row r="2231" customFormat="false" ht="15" hidden="false" customHeight="false" outlineLevel="0" collapsed="false">
      <c r="A2231" s="0" t="s">
        <v>3340</v>
      </c>
      <c r="B2231" s="0" t="s">
        <v>326</v>
      </c>
      <c r="D2231" s="46" t="n">
        <v>45756</v>
      </c>
      <c r="E2231" s="47" t="s">
        <v>55</v>
      </c>
      <c r="F2231" s="48" t="n">
        <v>145448.17</v>
      </c>
      <c r="G2231" s="47" t="s">
        <v>66</v>
      </c>
      <c r="H2231" s="47" t="s">
        <v>42</v>
      </c>
      <c r="I2231" s="47" t="s">
        <v>137</v>
      </c>
      <c r="J2231" s="47" t="s">
        <v>28</v>
      </c>
      <c r="K2231" s="47" t="s">
        <v>33</v>
      </c>
    </row>
    <row r="2232" customFormat="false" ht="15" hidden="false" customHeight="false" outlineLevel="0" collapsed="false">
      <c r="A2232" s="0" t="s">
        <v>3341</v>
      </c>
      <c r="B2232" s="0" t="s">
        <v>760</v>
      </c>
      <c r="D2232" s="46" t="n">
        <v>46179</v>
      </c>
      <c r="E2232" s="47" t="s">
        <v>60</v>
      </c>
      <c r="F2232" s="48" t="n">
        <v>66895.67</v>
      </c>
      <c r="G2232" s="47" t="s">
        <v>53</v>
      </c>
      <c r="H2232" s="47" t="s">
        <v>47</v>
      </c>
      <c r="I2232" s="47" t="s">
        <v>166</v>
      </c>
      <c r="J2232" s="47" t="s">
        <v>28</v>
      </c>
      <c r="K2232" s="47" t="s">
        <v>33</v>
      </c>
    </row>
    <row r="2233" customFormat="false" ht="15" hidden="false" customHeight="false" outlineLevel="0" collapsed="false">
      <c r="A2233" s="0" t="s">
        <v>3342</v>
      </c>
      <c r="B2233" s="0" t="s">
        <v>938</v>
      </c>
      <c r="D2233" s="46" t="n">
        <v>46193</v>
      </c>
      <c r="E2233" s="47" t="s">
        <v>55</v>
      </c>
      <c r="F2233" s="48" t="n">
        <v>91896.27</v>
      </c>
      <c r="G2233" s="47" t="s">
        <v>57</v>
      </c>
      <c r="H2233" s="47" t="s">
        <v>48</v>
      </c>
      <c r="I2233" s="47" t="s">
        <v>212</v>
      </c>
      <c r="J2233" s="47" t="s">
        <v>28</v>
      </c>
      <c r="K2233" s="47" t="s">
        <v>33</v>
      </c>
    </row>
    <row r="2234" customFormat="false" ht="15" hidden="false" customHeight="false" outlineLevel="0" collapsed="false">
      <c r="A2234" s="0" t="s">
        <v>3343</v>
      </c>
      <c r="B2234" s="0" t="s">
        <v>451</v>
      </c>
      <c r="C2234" s="0" t="s">
        <v>3344</v>
      </c>
      <c r="D2234" s="46" t="n">
        <v>45690</v>
      </c>
      <c r="E2234" s="47" t="s">
        <v>58</v>
      </c>
      <c r="F2234" s="48" t="n">
        <v>146772.44</v>
      </c>
      <c r="G2234" s="47" t="s">
        <v>65</v>
      </c>
      <c r="H2234" s="47" t="s">
        <v>41</v>
      </c>
      <c r="I2234" s="47" t="s">
        <v>293</v>
      </c>
      <c r="J2234" s="47" t="s">
        <v>28</v>
      </c>
      <c r="K2234" s="47" t="s">
        <v>34</v>
      </c>
    </row>
    <row r="2235" customFormat="false" ht="15" hidden="false" customHeight="false" outlineLevel="0" collapsed="false">
      <c r="A2235" s="0" t="s">
        <v>3345</v>
      </c>
      <c r="B2235" s="0" t="s">
        <v>3346</v>
      </c>
      <c r="D2235" s="46" t="n">
        <v>45972</v>
      </c>
      <c r="E2235" s="47" t="s">
        <v>58</v>
      </c>
      <c r="F2235" s="48" t="n">
        <v>87080.37</v>
      </c>
      <c r="G2235" s="47" t="s">
        <v>65</v>
      </c>
      <c r="H2235" s="47" t="s">
        <v>45</v>
      </c>
      <c r="I2235" s="47" t="s">
        <v>217</v>
      </c>
      <c r="J2235" s="47" t="s">
        <v>28</v>
      </c>
      <c r="K2235" s="47" t="s">
        <v>34</v>
      </c>
    </row>
    <row r="2236" customFormat="false" ht="15" hidden="false" customHeight="false" outlineLevel="0" collapsed="false">
      <c r="A2236" s="0" t="s">
        <v>3347</v>
      </c>
      <c r="B2236" s="0" t="s">
        <v>709</v>
      </c>
      <c r="D2236" s="46" t="n">
        <v>46117</v>
      </c>
      <c r="E2236" s="47" t="s">
        <v>55</v>
      </c>
      <c r="F2236" s="48" t="n">
        <v>135853.57</v>
      </c>
      <c r="G2236" s="47" t="s">
        <v>68</v>
      </c>
      <c r="H2236" s="47" t="s">
        <v>39</v>
      </c>
      <c r="I2236" s="47" t="s">
        <v>145</v>
      </c>
      <c r="J2236" s="47" t="s">
        <v>28</v>
      </c>
      <c r="K2236" s="47" t="s">
        <v>33</v>
      </c>
    </row>
    <row r="2237" customFormat="false" ht="15" hidden="false" customHeight="false" outlineLevel="0" collapsed="false">
      <c r="A2237" s="0" t="s">
        <v>3348</v>
      </c>
      <c r="B2237" s="0" t="s">
        <v>590</v>
      </c>
      <c r="D2237" s="46" t="n">
        <v>45984</v>
      </c>
      <c r="E2237" s="47" t="s">
        <v>61</v>
      </c>
      <c r="F2237" s="48" t="n">
        <v>4277.08</v>
      </c>
      <c r="G2237" s="47" t="s">
        <v>53</v>
      </c>
      <c r="H2237" s="47" t="s">
        <v>44</v>
      </c>
      <c r="I2237" s="47" t="s">
        <v>226</v>
      </c>
      <c r="J2237" s="47" t="s">
        <v>28</v>
      </c>
      <c r="K2237" s="47" t="s">
        <v>33</v>
      </c>
    </row>
    <row r="2238" customFormat="false" ht="15" hidden="false" customHeight="false" outlineLevel="0" collapsed="false">
      <c r="A2238" s="0" t="s">
        <v>3349</v>
      </c>
      <c r="B2238" s="0" t="s">
        <v>417</v>
      </c>
      <c r="D2238" s="46" t="n">
        <v>46274</v>
      </c>
      <c r="E2238" s="47" t="s">
        <v>55</v>
      </c>
      <c r="F2238" s="48" t="n">
        <v>119161.59</v>
      </c>
      <c r="G2238" s="47" t="s">
        <v>66</v>
      </c>
      <c r="H2238" s="47" t="s">
        <v>39</v>
      </c>
      <c r="I2238" s="47" t="s">
        <v>145</v>
      </c>
      <c r="J2238" s="47" t="s">
        <v>28</v>
      </c>
      <c r="K2238" s="47" t="s">
        <v>33</v>
      </c>
    </row>
    <row r="2239" customFormat="false" ht="15" hidden="false" customHeight="false" outlineLevel="0" collapsed="false">
      <c r="A2239" s="0" t="s">
        <v>3350</v>
      </c>
      <c r="B2239" s="0" t="s">
        <v>123</v>
      </c>
      <c r="C2239" s="0" t="s">
        <v>3144</v>
      </c>
      <c r="D2239" s="46" t="n">
        <v>46129</v>
      </c>
      <c r="E2239" s="47" t="s">
        <v>61</v>
      </c>
      <c r="F2239" s="48" t="n">
        <v>158436.73</v>
      </c>
      <c r="G2239" s="47" t="s">
        <v>53</v>
      </c>
      <c r="H2239" s="47" t="s">
        <v>39</v>
      </c>
      <c r="I2239" s="47" t="s">
        <v>98</v>
      </c>
      <c r="J2239" s="47" t="s">
        <v>28</v>
      </c>
      <c r="K2239" s="47" t="s">
        <v>33</v>
      </c>
    </row>
    <row r="2240" customFormat="false" ht="15" hidden="false" customHeight="false" outlineLevel="0" collapsed="false">
      <c r="A2240" s="0" t="s">
        <v>3351</v>
      </c>
      <c r="B2240" s="0" t="s">
        <v>2824</v>
      </c>
      <c r="C2240" s="0" t="s">
        <v>3352</v>
      </c>
      <c r="D2240" s="46" t="n">
        <v>46175</v>
      </c>
      <c r="E2240" s="47" t="s">
        <v>61</v>
      </c>
      <c r="F2240" s="48" t="n">
        <v>149642.85</v>
      </c>
      <c r="G2240" s="47" t="s">
        <v>68</v>
      </c>
      <c r="H2240" s="47" t="s">
        <v>46</v>
      </c>
      <c r="I2240" s="47" t="s">
        <v>121</v>
      </c>
      <c r="J2240" s="47" t="s">
        <v>29</v>
      </c>
      <c r="K2240" s="47" t="s">
        <v>34</v>
      </c>
    </row>
    <row r="2241" customFormat="false" ht="15" hidden="false" customHeight="false" outlineLevel="0" collapsed="false">
      <c r="A2241" s="0" t="s">
        <v>3353</v>
      </c>
      <c r="B2241" s="0" t="s">
        <v>826</v>
      </c>
      <c r="D2241" s="46" t="n">
        <v>46030</v>
      </c>
      <c r="E2241" s="47" t="s">
        <v>61</v>
      </c>
      <c r="F2241" s="48" t="n">
        <v>130218.32</v>
      </c>
      <c r="G2241" s="47" t="s">
        <v>68</v>
      </c>
      <c r="H2241" s="47" t="s">
        <v>42</v>
      </c>
      <c r="I2241" s="47" t="s">
        <v>105</v>
      </c>
      <c r="J2241" s="47" t="s">
        <v>28</v>
      </c>
      <c r="K2241" s="47" t="s">
        <v>34</v>
      </c>
    </row>
    <row r="2242" customFormat="false" ht="15" hidden="false" customHeight="false" outlineLevel="0" collapsed="false">
      <c r="A2242" s="0" t="s">
        <v>3354</v>
      </c>
      <c r="B2242" s="0" t="s">
        <v>1174</v>
      </c>
      <c r="D2242" s="46" t="n">
        <v>46284</v>
      </c>
      <c r="E2242" s="47" t="s">
        <v>60</v>
      </c>
      <c r="F2242" s="48" t="n">
        <v>162368.73</v>
      </c>
      <c r="G2242" s="47" t="s">
        <v>57</v>
      </c>
      <c r="H2242" s="47" t="s">
        <v>45</v>
      </c>
      <c r="I2242" s="47" t="s">
        <v>95</v>
      </c>
      <c r="J2242" s="47" t="s">
        <v>28</v>
      </c>
      <c r="K2242" s="47" t="s">
        <v>34</v>
      </c>
    </row>
    <row r="2243" customFormat="false" ht="15" hidden="false" customHeight="false" outlineLevel="0" collapsed="false">
      <c r="A2243" s="0" t="s">
        <v>3355</v>
      </c>
      <c r="B2243" s="0" t="s">
        <v>2875</v>
      </c>
      <c r="D2243" s="46" t="n">
        <v>45725</v>
      </c>
      <c r="E2243" s="47" t="s">
        <v>53</v>
      </c>
      <c r="F2243" s="48" t="n">
        <v>156474.82</v>
      </c>
      <c r="G2243" s="47" t="s">
        <v>65</v>
      </c>
      <c r="H2243" s="47" t="s">
        <v>48</v>
      </c>
      <c r="I2243" s="47" t="s">
        <v>111</v>
      </c>
      <c r="J2243" s="47" t="s">
        <v>28</v>
      </c>
      <c r="K2243" s="47" t="s">
        <v>34</v>
      </c>
    </row>
    <row r="2244" customFormat="false" ht="15" hidden="false" customHeight="false" outlineLevel="0" collapsed="false">
      <c r="A2244" s="0" t="s">
        <v>3356</v>
      </c>
      <c r="B2244" s="0" t="s">
        <v>718</v>
      </c>
      <c r="D2244" s="46" t="n">
        <v>45780</v>
      </c>
      <c r="E2244" s="47" t="s">
        <v>53</v>
      </c>
      <c r="F2244" s="48" t="n">
        <v>38101.83</v>
      </c>
      <c r="G2244" s="47" t="s">
        <v>57</v>
      </c>
      <c r="H2244" s="47" t="s">
        <v>42</v>
      </c>
      <c r="I2244" s="47" t="s">
        <v>398</v>
      </c>
      <c r="J2244" s="47" t="s">
        <v>28</v>
      </c>
      <c r="K2244" s="47" t="s">
        <v>34</v>
      </c>
    </row>
    <row r="2245" customFormat="false" ht="15" hidden="false" customHeight="false" outlineLevel="0" collapsed="false">
      <c r="A2245" s="0" t="s">
        <v>3357</v>
      </c>
      <c r="B2245" s="0" t="s">
        <v>3358</v>
      </c>
      <c r="D2245" s="46" t="n">
        <v>46257</v>
      </c>
      <c r="E2245" s="47" t="s">
        <v>55</v>
      </c>
      <c r="F2245" s="48" t="n">
        <v>38993.4</v>
      </c>
      <c r="G2245" s="47" t="s">
        <v>65</v>
      </c>
      <c r="H2245" s="47" t="s">
        <v>47</v>
      </c>
      <c r="I2245" s="47" t="s">
        <v>166</v>
      </c>
      <c r="J2245" s="47" t="s">
        <v>28</v>
      </c>
      <c r="K2245" s="47" t="s">
        <v>34</v>
      </c>
    </row>
    <row r="2246" customFormat="false" ht="15" hidden="false" customHeight="false" outlineLevel="0" collapsed="false">
      <c r="A2246" s="0" t="s">
        <v>3359</v>
      </c>
      <c r="B2246" s="0" t="s">
        <v>2262</v>
      </c>
      <c r="D2246" s="46" t="n">
        <v>46193</v>
      </c>
      <c r="E2246" s="47" t="s">
        <v>62</v>
      </c>
      <c r="F2246" s="48" t="n">
        <v>144107.96</v>
      </c>
      <c r="G2246" s="47" t="s">
        <v>66</v>
      </c>
      <c r="H2246" s="47" t="s">
        <v>48</v>
      </c>
      <c r="I2246" s="47" t="s">
        <v>111</v>
      </c>
      <c r="J2246" s="47" t="s">
        <v>28</v>
      </c>
      <c r="K2246" s="47" t="s">
        <v>34</v>
      </c>
    </row>
    <row r="2247" customFormat="false" ht="15" hidden="false" customHeight="false" outlineLevel="0" collapsed="false">
      <c r="A2247" s="0" t="s">
        <v>3360</v>
      </c>
      <c r="B2247" s="0" t="s">
        <v>1631</v>
      </c>
      <c r="D2247" s="46" t="n">
        <v>45738</v>
      </c>
      <c r="E2247" s="47" t="s">
        <v>60</v>
      </c>
      <c r="F2247" s="48" t="n">
        <v>176767.61</v>
      </c>
      <c r="G2247" s="47" t="s">
        <v>53</v>
      </c>
      <c r="H2247" s="47" t="s">
        <v>44</v>
      </c>
      <c r="I2247" s="47" t="s">
        <v>132</v>
      </c>
      <c r="J2247" s="47" t="s">
        <v>28</v>
      </c>
      <c r="K2247" s="47" t="s">
        <v>34</v>
      </c>
    </row>
    <row r="2248" customFormat="false" ht="15" hidden="false" customHeight="false" outlineLevel="0" collapsed="false">
      <c r="A2248" s="0" t="s">
        <v>3361</v>
      </c>
      <c r="B2248" s="0" t="s">
        <v>1490</v>
      </c>
      <c r="D2248" s="46" t="n">
        <v>46074</v>
      </c>
      <c r="E2248" s="47" t="s">
        <v>62</v>
      </c>
      <c r="F2248" s="48" t="n">
        <v>129169.98</v>
      </c>
      <c r="G2248" s="47" t="s">
        <v>57</v>
      </c>
      <c r="H2248" s="47" t="s">
        <v>40</v>
      </c>
      <c r="I2248" s="47" t="s">
        <v>83</v>
      </c>
      <c r="J2248" s="47" t="s">
        <v>28</v>
      </c>
      <c r="K2248" s="47" t="s">
        <v>33</v>
      </c>
    </row>
    <row r="2249" customFormat="false" ht="15" hidden="false" customHeight="false" outlineLevel="0" collapsed="false">
      <c r="A2249" s="0" t="s">
        <v>3362</v>
      </c>
      <c r="B2249" s="0" t="s">
        <v>1745</v>
      </c>
      <c r="D2249" s="46" t="n">
        <v>46168</v>
      </c>
      <c r="E2249" s="47" t="s">
        <v>53</v>
      </c>
      <c r="F2249" s="48" t="n">
        <v>120996.03</v>
      </c>
      <c r="G2249" s="47" t="s">
        <v>68</v>
      </c>
      <c r="H2249" s="47" t="s">
        <v>39</v>
      </c>
      <c r="I2249" s="47" t="s">
        <v>177</v>
      </c>
      <c r="J2249" s="47" t="s">
        <v>28</v>
      </c>
      <c r="K2249" s="47" t="s">
        <v>34</v>
      </c>
    </row>
    <row r="2250" customFormat="false" ht="15" hidden="false" customHeight="false" outlineLevel="0" collapsed="false">
      <c r="A2250" s="0" t="s">
        <v>3363</v>
      </c>
      <c r="B2250" s="0" t="s">
        <v>3147</v>
      </c>
      <c r="D2250" s="46" t="n">
        <v>45671</v>
      </c>
      <c r="E2250" s="47" t="s">
        <v>59</v>
      </c>
      <c r="F2250" s="48" t="n">
        <v>18842.23</v>
      </c>
      <c r="G2250" s="47" t="s">
        <v>65</v>
      </c>
      <c r="H2250" s="47" t="s">
        <v>47</v>
      </c>
      <c r="I2250" s="47" t="s">
        <v>166</v>
      </c>
      <c r="J2250" s="47" t="s">
        <v>28</v>
      </c>
      <c r="K2250" s="47" t="s">
        <v>33</v>
      </c>
    </row>
    <row r="2251" customFormat="false" ht="15" hidden="false" customHeight="false" outlineLevel="0" collapsed="false">
      <c r="A2251" s="0" t="s">
        <v>3364</v>
      </c>
      <c r="B2251" s="0" t="s">
        <v>1099</v>
      </c>
      <c r="D2251" s="46" t="n">
        <v>46108</v>
      </c>
      <c r="E2251" s="47" t="s">
        <v>59</v>
      </c>
      <c r="F2251" s="48" t="n">
        <v>44593.44</v>
      </c>
      <c r="G2251" s="47" t="s">
        <v>66</v>
      </c>
      <c r="H2251" s="47" t="s">
        <v>43</v>
      </c>
      <c r="I2251" s="47" t="s">
        <v>201</v>
      </c>
      <c r="J2251" s="47" t="s">
        <v>28</v>
      </c>
      <c r="K2251" s="47" t="s">
        <v>34</v>
      </c>
    </row>
    <row r="2252" customFormat="false" ht="15" hidden="false" customHeight="false" outlineLevel="0" collapsed="false">
      <c r="A2252" s="0" t="s">
        <v>3365</v>
      </c>
      <c r="B2252" s="0" t="s">
        <v>3303</v>
      </c>
      <c r="D2252" s="46" t="n">
        <v>45833</v>
      </c>
      <c r="E2252" s="47" t="s">
        <v>53</v>
      </c>
      <c r="F2252" s="48" t="n">
        <v>53750.51</v>
      </c>
      <c r="G2252" s="47" t="s">
        <v>57</v>
      </c>
      <c r="H2252" s="47" t="s">
        <v>44</v>
      </c>
      <c r="I2252" s="47" t="s">
        <v>132</v>
      </c>
      <c r="J2252" s="47" t="s">
        <v>28</v>
      </c>
      <c r="K2252" s="47" t="s">
        <v>33</v>
      </c>
    </row>
    <row r="2253" customFormat="false" ht="15" hidden="false" customHeight="false" outlineLevel="0" collapsed="false">
      <c r="A2253" s="0" t="s">
        <v>3366</v>
      </c>
      <c r="B2253" s="0" t="s">
        <v>1556</v>
      </c>
      <c r="C2253" s="0" t="s">
        <v>1557</v>
      </c>
      <c r="D2253" s="46" t="n">
        <v>45966</v>
      </c>
      <c r="E2253" s="47" t="s">
        <v>62</v>
      </c>
      <c r="F2253" s="48" t="n">
        <v>81621.39</v>
      </c>
      <c r="G2253" s="47" t="s">
        <v>65</v>
      </c>
      <c r="H2253" s="47" t="s">
        <v>47</v>
      </c>
      <c r="I2253" s="47" t="s">
        <v>166</v>
      </c>
      <c r="J2253" s="47" t="s">
        <v>28</v>
      </c>
      <c r="K2253" s="47" t="s">
        <v>33</v>
      </c>
    </row>
    <row r="2254" customFormat="false" ht="15" hidden="false" customHeight="false" outlineLevel="0" collapsed="false">
      <c r="A2254" s="0" t="s">
        <v>3367</v>
      </c>
      <c r="B2254" s="0" t="s">
        <v>3368</v>
      </c>
      <c r="D2254" s="46" t="n">
        <v>45705</v>
      </c>
      <c r="E2254" s="47" t="s">
        <v>62</v>
      </c>
      <c r="F2254" s="48" t="n">
        <v>149030.56</v>
      </c>
      <c r="G2254" s="47" t="s">
        <v>65</v>
      </c>
      <c r="H2254" s="47" t="s">
        <v>41</v>
      </c>
      <c r="I2254" s="47" t="s">
        <v>272</v>
      </c>
      <c r="J2254" s="47" t="s">
        <v>28</v>
      </c>
      <c r="K2254" s="47" t="s">
        <v>33</v>
      </c>
    </row>
    <row r="2255" customFormat="false" ht="15" hidden="false" customHeight="false" outlineLevel="0" collapsed="false">
      <c r="A2255" s="0" t="s">
        <v>3369</v>
      </c>
      <c r="B2255" s="0" t="s">
        <v>749</v>
      </c>
      <c r="D2255" s="46" t="n">
        <v>45757</v>
      </c>
      <c r="E2255" s="47" t="s">
        <v>60</v>
      </c>
      <c r="F2255" s="48" t="n">
        <v>99190.77</v>
      </c>
      <c r="G2255" s="47" t="s">
        <v>65</v>
      </c>
      <c r="H2255" s="47" t="s">
        <v>47</v>
      </c>
      <c r="I2255" s="47" t="s">
        <v>166</v>
      </c>
      <c r="J2255" s="47" t="s">
        <v>28</v>
      </c>
      <c r="K2255" s="47" t="s">
        <v>33</v>
      </c>
    </row>
    <row r="2256" customFormat="false" ht="15" hidden="false" customHeight="false" outlineLevel="0" collapsed="false">
      <c r="A2256" s="0" t="s">
        <v>3370</v>
      </c>
      <c r="B2256" s="0" t="s">
        <v>1305</v>
      </c>
      <c r="D2256" s="46" t="n">
        <v>45866</v>
      </c>
      <c r="E2256" s="47" t="s">
        <v>62</v>
      </c>
      <c r="F2256" s="48" t="n">
        <v>57744.66</v>
      </c>
      <c r="G2256" s="47" t="s">
        <v>53</v>
      </c>
      <c r="H2256" s="47" t="s">
        <v>43</v>
      </c>
      <c r="I2256" s="47" t="s">
        <v>201</v>
      </c>
      <c r="J2256" s="47" t="s">
        <v>28</v>
      </c>
      <c r="K2256" s="47" t="s">
        <v>34</v>
      </c>
    </row>
    <row r="2257" customFormat="false" ht="15" hidden="false" customHeight="false" outlineLevel="0" collapsed="false">
      <c r="A2257" s="0" t="s">
        <v>3371</v>
      </c>
      <c r="B2257" s="0" t="s">
        <v>388</v>
      </c>
      <c r="D2257" s="46" t="n">
        <v>46028</v>
      </c>
      <c r="E2257" s="47" t="s">
        <v>53</v>
      </c>
      <c r="F2257" s="48" t="n">
        <v>145585.1</v>
      </c>
      <c r="G2257" s="47" t="s">
        <v>65</v>
      </c>
      <c r="H2257" s="47" t="s">
        <v>41</v>
      </c>
      <c r="I2257" s="47" t="s">
        <v>272</v>
      </c>
      <c r="J2257" s="47" t="s">
        <v>28</v>
      </c>
      <c r="K2257" s="47" t="s">
        <v>34</v>
      </c>
    </row>
    <row r="2258" customFormat="false" ht="15" hidden="false" customHeight="false" outlineLevel="0" collapsed="false">
      <c r="A2258" s="0" t="s">
        <v>3372</v>
      </c>
      <c r="B2258" s="0" t="s">
        <v>1364</v>
      </c>
      <c r="D2258" s="46" t="n">
        <v>45904</v>
      </c>
      <c r="E2258" s="47" t="s">
        <v>59</v>
      </c>
      <c r="F2258" s="48" t="n">
        <v>8769.83</v>
      </c>
      <c r="G2258" s="47" t="s">
        <v>53</v>
      </c>
      <c r="H2258" s="47" t="s">
        <v>43</v>
      </c>
      <c r="I2258" s="47" t="s">
        <v>102</v>
      </c>
      <c r="J2258" s="47" t="s">
        <v>28</v>
      </c>
      <c r="K2258" s="47" t="s">
        <v>34</v>
      </c>
    </row>
    <row r="2259" customFormat="false" ht="15" hidden="false" customHeight="false" outlineLevel="0" collapsed="false">
      <c r="A2259" s="0" t="s">
        <v>3373</v>
      </c>
      <c r="B2259" s="0" t="s">
        <v>1754</v>
      </c>
      <c r="D2259" s="46" t="n">
        <v>45798</v>
      </c>
      <c r="E2259" s="47" t="s">
        <v>55</v>
      </c>
      <c r="F2259" s="48" t="n">
        <v>120298.24</v>
      </c>
      <c r="G2259" s="47" t="s">
        <v>53</v>
      </c>
      <c r="H2259" s="47" t="s">
        <v>47</v>
      </c>
      <c r="I2259" s="47" t="s">
        <v>166</v>
      </c>
      <c r="J2259" s="47" t="s">
        <v>29</v>
      </c>
      <c r="K2259" s="47" t="s">
        <v>34</v>
      </c>
    </row>
    <row r="2260" customFormat="false" ht="15" hidden="false" customHeight="false" outlineLevel="0" collapsed="false">
      <c r="A2260" s="0" t="s">
        <v>3374</v>
      </c>
      <c r="B2260" s="0" t="s">
        <v>470</v>
      </c>
      <c r="D2260" s="46" t="n">
        <v>46247</v>
      </c>
      <c r="E2260" s="47" t="s">
        <v>53</v>
      </c>
      <c r="F2260" s="48" t="n">
        <v>149080.92</v>
      </c>
      <c r="G2260" s="47" t="s">
        <v>68</v>
      </c>
      <c r="H2260" s="47" t="s">
        <v>43</v>
      </c>
      <c r="I2260" s="47" t="s">
        <v>117</v>
      </c>
      <c r="J2260" s="47" t="s">
        <v>28</v>
      </c>
      <c r="K2260" s="47" t="s">
        <v>34</v>
      </c>
    </row>
    <row r="2261" customFormat="false" ht="15" hidden="false" customHeight="false" outlineLevel="0" collapsed="false">
      <c r="A2261" s="0" t="s">
        <v>3375</v>
      </c>
      <c r="B2261" s="0" t="s">
        <v>571</v>
      </c>
      <c r="C2261" s="0" t="s">
        <v>2651</v>
      </c>
      <c r="D2261" s="46" t="n">
        <v>46001</v>
      </c>
      <c r="E2261" s="47" t="s">
        <v>60</v>
      </c>
      <c r="F2261" s="48" t="n">
        <v>168391.47</v>
      </c>
      <c r="G2261" s="47" t="s">
        <v>66</v>
      </c>
      <c r="H2261" s="47" t="s">
        <v>43</v>
      </c>
      <c r="I2261" s="47" t="s">
        <v>201</v>
      </c>
      <c r="J2261" s="47" t="s">
        <v>28</v>
      </c>
      <c r="K2261" s="47" t="s">
        <v>33</v>
      </c>
    </row>
    <row r="2262" customFormat="false" ht="15" hidden="false" customHeight="false" outlineLevel="0" collapsed="false">
      <c r="A2262" s="0" t="s">
        <v>3376</v>
      </c>
      <c r="B2262" s="0" t="s">
        <v>286</v>
      </c>
      <c r="D2262" s="46" t="n">
        <v>45790</v>
      </c>
      <c r="E2262" s="47" t="s">
        <v>62</v>
      </c>
      <c r="F2262" s="48" t="n">
        <v>193021.89</v>
      </c>
      <c r="G2262" s="47" t="s">
        <v>53</v>
      </c>
      <c r="H2262" s="47" t="s">
        <v>46</v>
      </c>
      <c r="I2262" s="47" t="s">
        <v>121</v>
      </c>
      <c r="J2262" s="47" t="s">
        <v>28</v>
      </c>
      <c r="K2262" s="47" t="s">
        <v>34</v>
      </c>
    </row>
    <row r="2263" customFormat="false" ht="15" hidden="false" customHeight="false" outlineLevel="0" collapsed="false">
      <c r="A2263" s="0" t="s">
        <v>3377</v>
      </c>
      <c r="B2263" s="0" t="s">
        <v>1155</v>
      </c>
      <c r="D2263" s="46" t="n">
        <v>45717</v>
      </c>
      <c r="E2263" s="47" t="s">
        <v>61</v>
      </c>
      <c r="F2263" s="48" t="n">
        <v>182687.44</v>
      </c>
      <c r="G2263" s="47" t="s">
        <v>68</v>
      </c>
      <c r="H2263" s="47" t="s">
        <v>44</v>
      </c>
      <c r="I2263" s="47" t="s">
        <v>132</v>
      </c>
      <c r="J2263" s="47" t="s">
        <v>28</v>
      </c>
      <c r="K2263" s="47" t="s">
        <v>33</v>
      </c>
    </row>
    <row r="2264" customFormat="false" ht="15" hidden="false" customHeight="false" outlineLevel="0" collapsed="false">
      <c r="A2264" s="0" t="s">
        <v>3378</v>
      </c>
      <c r="B2264" s="0" t="s">
        <v>915</v>
      </c>
      <c r="D2264" s="46" t="n">
        <v>46235</v>
      </c>
      <c r="E2264" s="47" t="s">
        <v>58</v>
      </c>
      <c r="F2264" s="48" t="n">
        <v>48487.39</v>
      </c>
      <c r="G2264" s="47" t="s">
        <v>53</v>
      </c>
      <c r="H2264" s="47" t="s">
        <v>47</v>
      </c>
      <c r="I2264" s="47" t="s">
        <v>108</v>
      </c>
      <c r="J2264" s="47" t="s">
        <v>28</v>
      </c>
      <c r="K2264" s="47" t="s">
        <v>34</v>
      </c>
    </row>
    <row r="2265" customFormat="false" ht="15" hidden="false" customHeight="false" outlineLevel="0" collapsed="false">
      <c r="A2265" s="0" t="s">
        <v>3379</v>
      </c>
      <c r="B2265" s="0" t="s">
        <v>209</v>
      </c>
      <c r="D2265" s="46" t="n">
        <v>46248</v>
      </c>
      <c r="E2265" s="47" t="s">
        <v>61</v>
      </c>
      <c r="F2265" s="48" t="n">
        <v>126093.62</v>
      </c>
      <c r="G2265" s="47" t="s">
        <v>66</v>
      </c>
      <c r="H2265" s="47" t="s">
        <v>40</v>
      </c>
      <c r="I2265" s="47" t="s">
        <v>89</v>
      </c>
      <c r="J2265" s="47" t="s">
        <v>28</v>
      </c>
      <c r="K2265" s="47" t="s">
        <v>33</v>
      </c>
    </row>
    <row r="2266" customFormat="false" ht="15" hidden="false" customHeight="false" outlineLevel="0" collapsed="false">
      <c r="A2266" s="0" t="s">
        <v>3380</v>
      </c>
      <c r="B2266" s="0" t="s">
        <v>569</v>
      </c>
      <c r="D2266" s="46" t="n">
        <v>45686</v>
      </c>
      <c r="E2266" s="47" t="s">
        <v>62</v>
      </c>
      <c r="F2266" s="48" t="n">
        <v>27586.98</v>
      </c>
      <c r="G2266" s="47" t="s">
        <v>66</v>
      </c>
      <c r="H2266" s="47" t="s">
        <v>43</v>
      </c>
      <c r="I2266" s="47" t="s">
        <v>201</v>
      </c>
      <c r="J2266" s="47" t="s">
        <v>28</v>
      </c>
      <c r="K2266" s="47" t="s">
        <v>33</v>
      </c>
    </row>
    <row r="2267" customFormat="false" ht="15" hidden="false" customHeight="false" outlineLevel="0" collapsed="false">
      <c r="A2267" s="0" t="s">
        <v>3381</v>
      </c>
      <c r="B2267" s="0" t="s">
        <v>2237</v>
      </c>
      <c r="D2267" s="46" t="n">
        <v>45905</v>
      </c>
      <c r="E2267" s="47" t="s">
        <v>61</v>
      </c>
      <c r="F2267" s="48" t="n">
        <v>109002.52</v>
      </c>
      <c r="G2267" s="47" t="s">
        <v>57</v>
      </c>
      <c r="H2267" s="47" t="s">
        <v>39</v>
      </c>
      <c r="I2267" s="47" t="s">
        <v>98</v>
      </c>
      <c r="J2267" s="47" t="s">
        <v>28</v>
      </c>
      <c r="K2267" s="47" t="s">
        <v>33</v>
      </c>
    </row>
    <row r="2268" customFormat="false" ht="15" hidden="false" customHeight="false" outlineLevel="0" collapsed="false">
      <c r="A2268" s="0" t="s">
        <v>3382</v>
      </c>
      <c r="B2268" s="0" t="s">
        <v>209</v>
      </c>
      <c r="D2268" s="46" t="n">
        <v>46275</v>
      </c>
      <c r="E2268" s="47" t="s">
        <v>62</v>
      </c>
      <c r="F2268" s="48" t="n">
        <v>154409.62</v>
      </c>
      <c r="G2268" s="47" t="s">
        <v>57</v>
      </c>
      <c r="H2268" s="47" t="s">
        <v>40</v>
      </c>
      <c r="I2268" s="47" t="s">
        <v>89</v>
      </c>
      <c r="J2268" s="47" t="s">
        <v>28</v>
      </c>
      <c r="K2268" s="47" t="s">
        <v>34</v>
      </c>
    </row>
    <row r="2269" customFormat="false" ht="15" hidden="false" customHeight="false" outlineLevel="0" collapsed="false">
      <c r="A2269" s="0" t="s">
        <v>3383</v>
      </c>
      <c r="B2269" s="0" t="s">
        <v>129</v>
      </c>
      <c r="D2269" s="46" t="n">
        <v>46120</v>
      </c>
      <c r="E2269" s="47" t="s">
        <v>61</v>
      </c>
      <c r="F2269" s="48" t="n">
        <v>176712.92</v>
      </c>
      <c r="G2269" s="47" t="s">
        <v>65</v>
      </c>
      <c r="H2269" s="47" t="s">
        <v>45</v>
      </c>
      <c r="I2269" s="47" t="s">
        <v>95</v>
      </c>
      <c r="J2269" s="47" t="s">
        <v>28</v>
      </c>
      <c r="K2269" s="47" t="s">
        <v>34</v>
      </c>
    </row>
    <row r="2270" customFormat="false" ht="15" hidden="false" customHeight="false" outlineLevel="0" collapsed="false">
      <c r="A2270" s="0" t="s">
        <v>3384</v>
      </c>
      <c r="B2270" s="0" t="s">
        <v>3096</v>
      </c>
      <c r="D2270" s="46" t="n">
        <v>45948</v>
      </c>
      <c r="E2270" s="47" t="s">
        <v>53</v>
      </c>
      <c r="F2270" s="48" t="n">
        <v>79628.14</v>
      </c>
      <c r="G2270" s="47" t="s">
        <v>53</v>
      </c>
      <c r="H2270" s="47" t="s">
        <v>40</v>
      </c>
      <c r="I2270" s="47" t="s">
        <v>89</v>
      </c>
      <c r="J2270" s="47" t="s">
        <v>28</v>
      </c>
      <c r="K2270" s="47" t="s">
        <v>33</v>
      </c>
    </row>
    <row r="2271" customFormat="false" ht="15" hidden="false" customHeight="false" outlineLevel="0" collapsed="false">
      <c r="A2271" s="0" t="s">
        <v>3385</v>
      </c>
      <c r="B2271" s="0" t="s">
        <v>299</v>
      </c>
      <c r="D2271" s="46" t="n">
        <v>46089</v>
      </c>
      <c r="E2271" s="47" t="s">
        <v>58</v>
      </c>
      <c r="F2271" s="48" t="n">
        <v>143510.13</v>
      </c>
      <c r="G2271" s="47" t="s">
        <v>66</v>
      </c>
      <c r="H2271" s="47" t="s">
        <v>48</v>
      </c>
      <c r="I2271" s="47" t="s">
        <v>212</v>
      </c>
      <c r="J2271" s="47" t="s">
        <v>28</v>
      </c>
      <c r="K2271" s="47" t="s">
        <v>33</v>
      </c>
    </row>
    <row r="2272" customFormat="false" ht="15" hidden="false" customHeight="false" outlineLevel="0" collapsed="false">
      <c r="A2272" s="0" t="s">
        <v>3386</v>
      </c>
      <c r="B2272" s="0" t="s">
        <v>3387</v>
      </c>
      <c r="C2272" s="0" t="s">
        <v>3388</v>
      </c>
      <c r="D2272" s="46" t="n">
        <v>45942</v>
      </c>
      <c r="E2272" s="47" t="s">
        <v>59</v>
      </c>
      <c r="F2272" s="48" t="n">
        <v>130308.15</v>
      </c>
      <c r="G2272" s="47" t="s">
        <v>57</v>
      </c>
      <c r="H2272" s="47" t="s">
        <v>45</v>
      </c>
      <c r="I2272" s="47" t="s">
        <v>151</v>
      </c>
      <c r="J2272" s="47" t="s">
        <v>28</v>
      </c>
      <c r="K2272" s="47" t="s">
        <v>33</v>
      </c>
    </row>
    <row r="2273" customFormat="false" ht="15" hidden="false" customHeight="false" outlineLevel="0" collapsed="false">
      <c r="A2273" s="0" t="s">
        <v>3389</v>
      </c>
      <c r="B2273" s="0" t="s">
        <v>575</v>
      </c>
      <c r="D2273" s="46" t="n">
        <v>45955</v>
      </c>
      <c r="E2273" s="47" t="s">
        <v>53</v>
      </c>
      <c r="F2273" s="48" t="n">
        <v>123159.59</v>
      </c>
      <c r="G2273" s="47" t="s">
        <v>68</v>
      </c>
      <c r="H2273" s="47" t="s">
        <v>45</v>
      </c>
      <c r="I2273" s="47" t="s">
        <v>217</v>
      </c>
      <c r="J2273" s="47" t="s">
        <v>28</v>
      </c>
      <c r="K2273" s="47" t="s">
        <v>34</v>
      </c>
    </row>
    <row r="2274" customFormat="false" ht="15" hidden="false" customHeight="false" outlineLevel="0" collapsed="false">
      <c r="A2274" s="0" t="s">
        <v>3390</v>
      </c>
      <c r="B2274" s="0" t="s">
        <v>569</v>
      </c>
      <c r="D2274" s="46" t="n">
        <v>46100</v>
      </c>
      <c r="E2274" s="47" t="s">
        <v>55</v>
      </c>
      <c r="F2274" s="48" t="n">
        <v>14170.61</v>
      </c>
      <c r="G2274" s="47" t="s">
        <v>66</v>
      </c>
      <c r="H2274" s="47" t="s">
        <v>43</v>
      </c>
      <c r="I2274" s="47" t="s">
        <v>201</v>
      </c>
      <c r="J2274" s="47" t="s">
        <v>28</v>
      </c>
      <c r="K2274" s="47" t="s">
        <v>34</v>
      </c>
    </row>
    <row r="2275" customFormat="false" ht="15" hidden="false" customHeight="false" outlineLevel="0" collapsed="false">
      <c r="A2275" s="0" t="s">
        <v>3391</v>
      </c>
      <c r="B2275" s="0" t="s">
        <v>1979</v>
      </c>
      <c r="D2275" s="46" t="n">
        <v>46209</v>
      </c>
      <c r="E2275" s="47" t="s">
        <v>60</v>
      </c>
      <c r="F2275" s="48" t="n">
        <v>138706.84</v>
      </c>
      <c r="G2275" s="47" t="s">
        <v>68</v>
      </c>
      <c r="H2275" s="47" t="s">
        <v>48</v>
      </c>
      <c r="I2275" s="47" t="s">
        <v>111</v>
      </c>
      <c r="J2275" s="47" t="s">
        <v>28</v>
      </c>
      <c r="K2275" s="47" t="s">
        <v>33</v>
      </c>
    </row>
    <row r="2276" customFormat="false" ht="15" hidden="false" customHeight="false" outlineLevel="0" collapsed="false">
      <c r="A2276" s="0" t="s">
        <v>3392</v>
      </c>
      <c r="B2276" s="0" t="s">
        <v>3213</v>
      </c>
      <c r="D2276" s="46" t="n">
        <v>45798</v>
      </c>
      <c r="E2276" s="47" t="s">
        <v>59</v>
      </c>
      <c r="F2276" s="48" t="n">
        <v>89856.14</v>
      </c>
      <c r="G2276" s="47" t="s">
        <v>68</v>
      </c>
      <c r="H2276" s="47" t="s">
        <v>47</v>
      </c>
      <c r="I2276" s="47" t="s">
        <v>166</v>
      </c>
      <c r="J2276" s="47" t="s">
        <v>28</v>
      </c>
      <c r="K2276" s="47" t="s">
        <v>33</v>
      </c>
    </row>
    <row r="2277" customFormat="false" ht="15" hidden="false" customHeight="false" outlineLevel="0" collapsed="false">
      <c r="A2277" s="0" t="s">
        <v>3393</v>
      </c>
      <c r="B2277" s="0" t="s">
        <v>1014</v>
      </c>
      <c r="D2277" s="46" t="n">
        <v>46125</v>
      </c>
      <c r="E2277" s="47" t="s">
        <v>62</v>
      </c>
      <c r="F2277" s="48" t="n">
        <v>59748.61</v>
      </c>
      <c r="G2277" s="47" t="s">
        <v>68</v>
      </c>
      <c r="H2277" s="47" t="s">
        <v>40</v>
      </c>
      <c r="I2277" s="47" t="s">
        <v>253</v>
      </c>
      <c r="J2277" s="47" t="s">
        <v>28</v>
      </c>
      <c r="K2277" s="47" t="s">
        <v>33</v>
      </c>
    </row>
    <row r="2278" customFormat="false" ht="15" hidden="false" customHeight="false" outlineLevel="0" collapsed="false">
      <c r="A2278" s="0" t="s">
        <v>3394</v>
      </c>
      <c r="B2278" s="0" t="s">
        <v>642</v>
      </c>
      <c r="D2278" s="46" t="n">
        <v>46175</v>
      </c>
      <c r="E2278" s="47" t="s">
        <v>61</v>
      </c>
      <c r="F2278" s="48" t="n">
        <v>4248.36</v>
      </c>
      <c r="G2278" s="47" t="s">
        <v>66</v>
      </c>
      <c r="H2278" s="47" t="s">
        <v>43</v>
      </c>
      <c r="I2278" s="47" t="s">
        <v>102</v>
      </c>
      <c r="J2278" s="47" t="s">
        <v>28</v>
      </c>
      <c r="K2278" s="47" t="s">
        <v>33</v>
      </c>
    </row>
    <row r="2279" customFormat="false" ht="15" hidden="false" customHeight="false" outlineLevel="0" collapsed="false">
      <c r="A2279" s="0" t="s">
        <v>3395</v>
      </c>
      <c r="B2279" s="0" t="s">
        <v>3396</v>
      </c>
      <c r="D2279" s="46" t="n">
        <v>45661</v>
      </c>
      <c r="E2279" s="47" t="s">
        <v>62</v>
      </c>
      <c r="F2279" s="48" t="n">
        <v>183693.84</v>
      </c>
      <c r="G2279" s="47" t="s">
        <v>65</v>
      </c>
      <c r="H2279" s="47" t="s">
        <v>42</v>
      </c>
      <c r="I2279" s="47" t="s">
        <v>105</v>
      </c>
      <c r="J2279" s="47" t="s">
        <v>28</v>
      </c>
      <c r="K2279" s="47" t="s">
        <v>33</v>
      </c>
    </row>
    <row r="2280" customFormat="false" ht="15" hidden="false" customHeight="false" outlineLevel="0" collapsed="false">
      <c r="A2280" s="0" t="s">
        <v>3397</v>
      </c>
      <c r="B2280" s="0" t="s">
        <v>806</v>
      </c>
      <c r="D2280" s="46" t="n">
        <v>46275</v>
      </c>
      <c r="E2280" s="47" t="s">
        <v>53</v>
      </c>
      <c r="F2280" s="48" t="n">
        <v>180776.39</v>
      </c>
      <c r="G2280" s="47" t="s">
        <v>65</v>
      </c>
      <c r="H2280" s="47" t="s">
        <v>47</v>
      </c>
      <c r="I2280" s="47" t="s">
        <v>108</v>
      </c>
      <c r="J2280" s="47" t="s">
        <v>28</v>
      </c>
      <c r="K2280" s="47" t="s">
        <v>34</v>
      </c>
    </row>
    <row r="2281" customFormat="false" ht="15" hidden="false" customHeight="false" outlineLevel="0" collapsed="false">
      <c r="A2281" s="0" t="s">
        <v>3398</v>
      </c>
      <c r="B2281" s="0" t="s">
        <v>3396</v>
      </c>
      <c r="D2281" s="46" t="n">
        <v>45867</v>
      </c>
      <c r="E2281" s="47" t="s">
        <v>60</v>
      </c>
      <c r="F2281" s="48" t="n">
        <v>160125.38</v>
      </c>
      <c r="G2281" s="47" t="s">
        <v>68</v>
      </c>
      <c r="H2281" s="47" t="s">
        <v>42</v>
      </c>
      <c r="I2281" s="47" t="s">
        <v>105</v>
      </c>
      <c r="J2281" s="47" t="s">
        <v>29</v>
      </c>
      <c r="K2281" s="47" t="s">
        <v>33</v>
      </c>
    </row>
    <row r="2282" customFormat="false" ht="15" hidden="false" customHeight="false" outlineLevel="0" collapsed="false">
      <c r="A2282" s="0" t="s">
        <v>3399</v>
      </c>
      <c r="B2282" s="0" t="s">
        <v>1835</v>
      </c>
      <c r="D2282" s="46" t="n">
        <v>45966</v>
      </c>
      <c r="E2282" s="47" t="s">
        <v>62</v>
      </c>
      <c r="F2282" s="48" t="n">
        <v>5258.71</v>
      </c>
      <c r="G2282" s="47" t="s">
        <v>65</v>
      </c>
      <c r="H2282" s="47" t="s">
        <v>48</v>
      </c>
      <c r="I2282" s="47" t="s">
        <v>114</v>
      </c>
      <c r="J2282" s="47" t="s">
        <v>28</v>
      </c>
      <c r="K2282" s="47" t="s">
        <v>34</v>
      </c>
    </row>
    <row r="2283" customFormat="false" ht="15" hidden="false" customHeight="false" outlineLevel="0" collapsed="false">
      <c r="A2283" s="0" t="s">
        <v>3400</v>
      </c>
      <c r="B2283" s="0" t="s">
        <v>2022</v>
      </c>
      <c r="D2283" s="46" t="n">
        <v>45787</v>
      </c>
      <c r="E2283" s="47" t="s">
        <v>60</v>
      </c>
      <c r="F2283" s="48" t="n">
        <v>115573.76</v>
      </c>
      <c r="G2283" s="47" t="s">
        <v>68</v>
      </c>
      <c r="H2283" s="47" t="s">
        <v>46</v>
      </c>
      <c r="I2283" s="47" t="s">
        <v>121</v>
      </c>
      <c r="J2283" s="47" t="s">
        <v>28</v>
      </c>
      <c r="K2283" s="47" t="s">
        <v>33</v>
      </c>
    </row>
    <row r="2284" customFormat="false" ht="15" hidden="false" customHeight="false" outlineLevel="0" collapsed="false">
      <c r="A2284" s="0" t="s">
        <v>3401</v>
      </c>
      <c r="B2284" s="0" t="s">
        <v>3402</v>
      </c>
      <c r="D2284" s="46" t="n">
        <v>46203</v>
      </c>
      <c r="E2284" s="47" t="s">
        <v>59</v>
      </c>
      <c r="F2284" s="48" t="n">
        <v>115737.95</v>
      </c>
      <c r="G2284" s="47" t="s">
        <v>68</v>
      </c>
      <c r="H2284" s="47" t="s">
        <v>45</v>
      </c>
      <c r="I2284" s="47" t="s">
        <v>151</v>
      </c>
      <c r="J2284" s="47" t="s">
        <v>28</v>
      </c>
      <c r="K2284" s="47" t="s">
        <v>33</v>
      </c>
    </row>
    <row r="2285" customFormat="false" ht="15" hidden="false" customHeight="false" outlineLevel="0" collapsed="false">
      <c r="A2285" s="0" t="s">
        <v>3403</v>
      </c>
      <c r="B2285" s="0" t="s">
        <v>337</v>
      </c>
      <c r="D2285" s="46" t="n">
        <v>46086</v>
      </c>
      <c r="E2285" s="47" t="s">
        <v>59</v>
      </c>
      <c r="F2285" s="48" t="n">
        <v>71520.55</v>
      </c>
      <c r="G2285" s="47" t="s">
        <v>53</v>
      </c>
      <c r="H2285" s="47" t="s">
        <v>39</v>
      </c>
      <c r="I2285" s="47" t="s">
        <v>145</v>
      </c>
      <c r="J2285" s="47" t="s">
        <v>28</v>
      </c>
      <c r="K2285" s="47" t="s">
        <v>34</v>
      </c>
    </row>
    <row r="2286" customFormat="false" ht="15" hidden="false" customHeight="false" outlineLevel="0" collapsed="false">
      <c r="A2286" s="0" t="s">
        <v>3404</v>
      </c>
      <c r="B2286" s="0" t="s">
        <v>2875</v>
      </c>
      <c r="D2286" s="46" t="n">
        <v>46110</v>
      </c>
      <c r="E2286" s="47" t="s">
        <v>61</v>
      </c>
      <c r="F2286" s="48" t="n">
        <v>166005.27</v>
      </c>
      <c r="G2286" s="47" t="s">
        <v>68</v>
      </c>
      <c r="H2286" s="47" t="s">
        <v>48</v>
      </c>
      <c r="I2286" s="47" t="s">
        <v>111</v>
      </c>
      <c r="J2286" s="47" t="s">
        <v>28</v>
      </c>
      <c r="K2286" s="47" t="s">
        <v>33</v>
      </c>
    </row>
    <row r="2287" customFormat="false" ht="15" hidden="false" customHeight="false" outlineLevel="0" collapsed="false">
      <c r="A2287" s="0" t="s">
        <v>3405</v>
      </c>
      <c r="B2287" s="0" t="s">
        <v>509</v>
      </c>
      <c r="D2287" s="46" t="n">
        <v>45819</v>
      </c>
      <c r="E2287" s="47" t="s">
        <v>62</v>
      </c>
      <c r="F2287" s="48" t="n">
        <v>29247.31</v>
      </c>
      <c r="G2287" s="47" t="s">
        <v>65</v>
      </c>
      <c r="H2287" s="47" t="s">
        <v>46</v>
      </c>
      <c r="I2287" s="47" t="s">
        <v>121</v>
      </c>
      <c r="J2287" s="47" t="s">
        <v>28</v>
      </c>
      <c r="K2287" s="47" t="s">
        <v>34</v>
      </c>
    </row>
    <row r="2288" customFormat="false" ht="15" hidden="false" customHeight="false" outlineLevel="0" collapsed="false">
      <c r="A2288" s="0" t="s">
        <v>3406</v>
      </c>
      <c r="B2288" s="0" t="s">
        <v>774</v>
      </c>
      <c r="D2288" s="46" t="n">
        <v>46266</v>
      </c>
      <c r="E2288" s="47" t="s">
        <v>61</v>
      </c>
      <c r="F2288" s="48" t="n">
        <v>180848.48</v>
      </c>
      <c r="G2288" s="47" t="s">
        <v>53</v>
      </c>
      <c r="H2288" s="47" t="s">
        <v>47</v>
      </c>
      <c r="I2288" s="47" t="s">
        <v>245</v>
      </c>
      <c r="J2288" s="47" t="s">
        <v>28</v>
      </c>
      <c r="K2288" s="47" t="s">
        <v>34</v>
      </c>
    </row>
    <row r="2289" customFormat="false" ht="15" hidden="false" customHeight="false" outlineLevel="0" collapsed="false">
      <c r="A2289" s="0" t="s">
        <v>3407</v>
      </c>
      <c r="B2289" s="0" t="s">
        <v>415</v>
      </c>
      <c r="D2289" s="46" t="n">
        <v>45999</v>
      </c>
      <c r="E2289" s="47" t="s">
        <v>62</v>
      </c>
      <c r="F2289" s="48" t="n">
        <v>165320.19</v>
      </c>
      <c r="G2289" s="47" t="s">
        <v>65</v>
      </c>
      <c r="H2289" s="47" t="s">
        <v>39</v>
      </c>
      <c r="I2289" s="47" t="s">
        <v>98</v>
      </c>
      <c r="J2289" s="47" t="s">
        <v>28</v>
      </c>
      <c r="K2289" s="47" t="s">
        <v>34</v>
      </c>
    </row>
    <row r="2290" customFormat="false" ht="15" hidden="false" customHeight="false" outlineLevel="0" collapsed="false">
      <c r="A2290" s="0" t="s">
        <v>3408</v>
      </c>
      <c r="B2290" s="0" t="s">
        <v>1967</v>
      </c>
      <c r="C2290" s="0" t="s">
        <v>3409</v>
      </c>
      <c r="D2290" s="46" t="n">
        <v>46282</v>
      </c>
      <c r="E2290" s="47" t="s">
        <v>58</v>
      </c>
      <c r="F2290" s="48" t="n">
        <v>152661.49</v>
      </c>
      <c r="G2290" s="47" t="s">
        <v>53</v>
      </c>
      <c r="H2290" s="47" t="s">
        <v>47</v>
      </c>
      <c r="I2290" s="47" t="s">
        <v>245</v>
      </c>
      <c r="J2290" s="47" t="s">
        <v>28</v>
      </c>
      <c r="K2290" s="47" t="s">
        <v>34</v>
      </c>
    </row>
    <row r="2291" customFormat="false" ht="15" hidden="false" customHeight="false" outlineLevel="0" collapsed="false">
      <c r="A2291" s="0" t="s">
        <v>3410</v>
      </c>
      <c r="B2291" s="0" t="s">
        <v>1992</v>
      </c>
      <c r="D2291" s="46" t="n">
        <v>45939</v>
      </c>
      <c r="E2291" s="47" t="s">
        <v>58</v>
      </c>
      <c r="F2291" s="48" t="n">
        <v>135590.58</v>
      </c>
      <c r="G2291" s="47" t="s">
        <v>65</v>
      </c>
      <c r="H2291" s="47" t="s">
        <v>45</v>
      </c>
      <c r="I2291" s="47" t="s">
        <v>151</v>
      </c>
      <c r="J2291" s="47" t="s">
        <v>29</v>
      </c>
      <c r="K2291" s="47" t="s">
        <v>33</v>
      </c>
    </row>
    <row r="2292" customFormat="false" ht="15" hidden="false" customHeight="false" outlineLevel="0" collapsed="false">
      <c r="A2292" s="0" t="s">
        <v>3411</v>
      </c>
      <c r="B2292" s="0" t="s">
        <v>1767</v>
      </c>
      <c r="D2292" s="46" t="n">
        <v>46235</v>
      </c>
      <c r="E2292" s="47" t="s">
        <v>62</v>
      </c>
      <c r="F2292" s="48" t="n">
        <v>178772.33</v>
      </c>
      <c r="G2292" s="47" t="s">
        <v>65</v>
      </c>
      <c r="H2292" s="47" t="s">
        <v>46</v>
      </c>
      <c r="I2292" s="47" t="s">
        <v>242</v>
      </c>
      <c r="J2292" s="47" t="s">
        <v>28</v>
      </c>
      <c r="K2292" s="47" t="s">
        <v>33</v>
      </c>
    </row>
    <row r="2293" customFormat="false" ht="15" hidden="false" customHeight="false" outlineLevel="0" collapsed="false">
      <c r="A2293" s="0" t="s">
        <v>3412</v>
      </c>
      <c r="B2293" s="0" t="s">
        <v>2090</v>
      </c>
      <c r="D2293" s="46" t="n">
        <v>46064</v>
      </c>
      <c r="E2293" s="47" t="s">
        <v>62</v>
      </c>
      <c r="F2293" s="48" t="n">
        <v>172005.41</v>
      </c>
      <c r="G2293" s="47" t="s">
        <v>65</v>
      </c>
      <c r="H2293" s="47" t="s">
        <v>47</v>
      </c>
      <c r="I2293" s="47" t="s">
        <v>108</v>
      </c>
      <c r="J2293" s="47" t="s">
        <v>28</v>
      </c>
      <c r="K2293" s="47" t="s">
        <v>33</v>
      </c>
    </row>
    <row r="2294" customFormat="false" ht="15" hidden="false" customHeight="false" outlineLevel="0" collapsed="false">
      <c r="A2294" s="0" t="s">
        <v>3413</v>
      </c>
      <c r="B2294" s="0" t="s">
        <v>244</v>
      </c>
      <c r="D2294" s="46" t="n">
        <v>46249</v>
      </c>
      <c r="E2294" s="47" t="s">
        <v>62</v>
      </c>
      <c r="F2294" s="48" t="n">
        <v>132237.5</v>
      </c>
      <c r="G2294" s="47" t="s">
        <v>53</v>
      </c>
      <c r="H2294" s="47" t="s">
        <v>47</v>
      </c>
      <c r="I2294" s="47" t="s">
        <v>245</v>
      </c>
      <c r="J2294" s="47" t="s">
        <v>29</v>
      </c>
      <c r="K2294" s="47" t="s">
        <v>33</v>
      </c>
    </row>
    <row r="2295" customFormat="false" ht="15" hidden="false" customHeight="false" outlineLevel="0" collapsed="false">
      <c r="A2295" s="0" t="s">
        <v>3414</v>
      </c>
      <c r="B2295" s="0" t="s">
        <v>1050</v>
      </c>
      <c r="D2295" s="46" t="n">
        <v>45842</v>
      </c>
      <c r="E2295" s="47" t="s">
        <v>60</v>
      </c>
      <c r="F2295" s="48" t="n">
        <v>147661.74</v>
      </c>
      <c r="G2295" s="47" t="s">
        <v>66</v>
      </c>
      <c r="H2295" s="47" t="s">
        <v>42</v>
      </c>
      <c r="I2295" s="47" t="s">
        <v>137</v>
      </c>
      <c r="J2295" s="47" t="s">
        <v>28</v>
      </c>
      <c r="K2295" s="47" t="s">
        <v>34</v>
      </c>
    </row>
    <row r="2296" customFormat="false" ht="15" hidden="false" customHeight="false" outlineLevel="0" collapsed="false">
      <c r="A2296" s="0" t="s">
        <v>3415</v>
      </c>
      <c r="B2296" s="0" t="s">
        <v>958</v>
      </c>
      <c r="D2296" s="46" t="n">
        <v>45664</v>
      </c>
      <c r="E2296" s="47" t="s">
        <v>60</v>
      </c>
      <c r="F2296" s="48" t="n">
        <v>173332.77</v>
      </c>
      <c r="G2296" s="47" t="s">
        <v>57</v>
      </c>
      <c r="H2296" s="47" t="s">
        <v>39</v>
      </c>
      <c r="I2296" s="47" t="s">
        <v>177</v>
      </c>
      <c r="J2296" s="47" t="s">
        <v>28</v>
      </c>
      <c r="K2296" s="47" t="s">
        <v>33</v>
      </c>
    </row>
    <row r="2297" customFormat="false" ht="15" hidden="false" customHeight="false" outlineLevel="0" collapsed="false">
      <c r="A2297" s="0" t="s">
        <v>3416</v>
      </c>
      <c r="B2297" s="0" t="s">
        <v>360</v>
      </c>
      <c r="D2297" s="46" t="n">
        <v>45985</v>
      </c>
      <c r="E2297" s="47" t="s">
        <v>60</v>
      </c>
      <c r="F2297" s="48" t="n">
        <v>84476.78</v>
      </c>
      <c r="G2297" s="47" t="s">
        <v>65</v>
      </c>
      <c r="H2297" s="47" t="s">
        <v>44</v>
      </c>
      <c r="I2297" s="47" t="s">
        <v>132</v>
      </c>
      <c r="J2297" s="47" t="s">
        <v>28</v>
      </c>
      <c r="K2297" s="47" t="s">
        <v>34</v>
      </c>
    </row>
    <row r="2298" customFormat="false" ht="15" hidden="false" customHeight="false" outlineLevel="0" collapsed="false">
      <c r="A2298" s="0" t="s">
        <v>3417</v>
      </c>
      <c r="B2298" s="0" t="s">
        <v>312</v>
      </c>
      <c r="C2298" s="0" t="s">
        <v>3418</v>
      </c>
      <c r="D2298" s="46" t="n">
        <v>45688</v>
      </c>
      <c r="E2298" s="47" t="s">
        <v>55</v>
      </c>
      <c r="F2298" s="48" t="n">
        <v>117122.34</v>
      </c>
      <c r="G2298" s="47" t="s">
        <v>53</v>
      </c>
      <c r="H2298" s="47" t="s">
        <v>48</v>
      </c>
      <c r="I2298" s="47" t="s">
        <v>114</v>
      </c>
      <c r="J2298" s="47" t="s">
        <v>28</v>
      </c>
      <c r="K2298" s="47" t="s">
        <v>33</v>
      </c>
    </row>
    <row r="2299" customFormat="false" ht="15" hidden="false" customHeight="false" outlineLevel="0" collapsed="false">
      <c r="A2299" s="0" t="s">
        <v>3419</v>
      </c>
      <c r="B2299" s="0" t="s">
        <v>223</v>
      </c>
      <c r="D2299" s="46" t="n">
        <v>45780</v>
      </c>
      <c r="E2299" s="47" t="s">
        <v>61</v>
      </c>
      <c r="F2299" s="48" t="n">
        <v>74202</v>
      </c>
      <c r="G2299" s="47" t="s">
        <v>66</v>
      </c>
      <c r="H2299" s="47" t="s">
        <v>42</v>
      </c>
      <c r="I2299" s="47" t="s">
        <v>105</v>
      </c>
      <c r="J2299" s="47" t="s">
        <v>28</v>
      </c>
      <c r="K2299" s="47" t="s">
        <v>34</v>
      </c>
    </row>
    <row r="2300" customFormat="false" ht="15" hidden="false" customHeight="false" outlineLevel="0" collapsed="false">
      <c r="A2300" s="0" t="s">
        <v>3420</v>
      </c>
      <c r="B2300" s="0" t="s">
        <v>3213</v>
      </c>
      <c r="D2300" s="46" t="n">
        <v>46050</v>
      </c>
      <c r="E2300" s="47" t="s">
        <v>60</v>
      </c>
      <c r="F2300" s="48" t="n">
        <v>74964.52</v>
      </c>
      <c r="G2300" s="47" t="s">
        <v>53</v>
      </c>
      <c r="H2300" s="47" t="s">
        <v>47</v>
      </c>
      <c r="I2300" s="47" t="s">
        <v>166</v>
      </c>
      <c r="J2300" s="47" t="s">
        <v>28</v>
      </c>
      <c r="K2300" s="47" t="s">
        <v>33</v>
      </c>
    </row>
    <row r="2301" customFormat="false" ht="15" hidden="false" customHeight="false" outlineLevel="0" collapsed="false">
      <c r="A2301" s="0" t="s">
        <v>3421</v>
      </c>
      <c r="B2301" s="0" t="s">
        <v>520</v>
      </c>
      <c r="C2301" s="0" t="s">
        <v>3422</v>
      </c>
      <c r="D2301" s="46" t="n">
        <v>46105</v>
      </c>
      <c r="E2301" s="47" t="s">
        <v>53</v>
      </c>
      <c r="F2301" s="48" t="n">
        <v>8413.27</v>
      </c>
      <c r="G2301" s="47" t="s">
        <v>53</v>
      </c>
      <c r="H2301" s="47" t="s">
        <v>47</v>
      </c>
      <c r="I2301" s="47" t="s">
        <v>108</v>
      </c>
      <c r="J2301" s="47" t="s">
        <v>28</v>
      </c>
      <c r="K2301" s="47" t="s">
        <v>34</v>
      </c>
    </row>
    <row r="2302" customFormat="false" ht="15" hidden="false" customHeight="false" outlineLevel="0" collapsed="false">
      <c r="A2302" s="0" t="s">
        <v>3423</v>
      </c>
      <c r="B2302" s="0" t="s">
        <v>131</v>
      </c>
      <c r="C2302" s="0" t="s">
        <v>3424</v>
      </c>
      <c r="D2302" s="46" t="n">
        <v>45858</v>
      </c>
      <c r="E2302" s="47" t="s">
        <v>58</v>
      </c>
      <c r="F2302" s="48" t="n">
        <v>138309.78</v>
      </c>
      <c r="G2302" s="47" t="s">
        <v>66</v>
      </c>
      <c r="H2302" s="47" t="s">
        <v>44</v>
      </c>
      <c r="I2302" s="47" t="s">
        <v>132</v>
      </c>
      <c r="J2302" s="47" t="s">
        <v>28</v>
      </c>
      <c r="K2302" s="47" t="s">
        <v>33</v>
      </c>
    </row>
    <row r="2303" customFormat="false" ht="15" hidden="false" customHeight="false" outlineLevel="0" collapsed="false">
      <c r="A2303" s="0" t="s">
        <v>3425</v>
      </c>
      <c r="B2303" s="0" t="s">
        <v>241</v>
      </c>
      <c r="D2303" s="46" t="n">
        <v>45787</v>
      </c>
      <c r="E2303" s="47" t="s">
        <v>58</v>
      </c>
      <c r="F2303" s="48" t="n">
        <v>166749.57</v>
      </c>
      <c r="G2303" s="47" t="s">
        <v>53</v>
      </c>
      <c r="H2303" s="47" t="s">
        <v>46</v>
      </c>
      <c r="I2303" s="47" t="s">
        <v>242</v>
      </c>
      <c r="J2303" s="47" t="s">
        <v>28</v>
      </c>
      <c r="K2303" s="47" t="s">
        <v>34</v>
      </c>
    </row>
    <row r="2304" customFormat="false" ht="15" hidden="false" customHeight="false" outlineLevel="0" collapsed="false">
      <c r="A2304" s="0" t="s">
        <v>3426</v>
      </c>
      <c r="B2304" s="0" t="s">
        <v>569</v>
      </c>
      <c r="D2304" s="46" t="n">
        <v>46087</v>
      </c>
      <c r="E2304" s="47" t="s">
        <v>59</v>
      </c>
      <c r="F2304" s="48" t="n">
        <v>92339.74</v>
      </c>
      <c r="G2304" s="47" t="s">
        <v>57</v>
      </c>
      <c r="H2304" s="47" t="s">
        <v>43</v>
      </c>
      <c r="I2304" s="47" t="s">
        <v>201</v>
      </c>
      <c r="J2304" s="47" t="s">
        <v>28</v>
      </c>
      <c r="K2304" s="47" t="s">
        <v>33</v>
      </c>
    </row>
    <row r="2305" customFormat="false" ht="15" hidden="false" customHeight="false" outlineLevel="0" collapsed="false">
      <c r="A2305" s="0" t="s">
        <v>3427</v>
      </c>
      <c r="B2305" s="0" t="s">
        <v>1020</v>
      </c>
      <c r="D2305" s="46" t="n">
        <v>45683</v>
      </c>
      <c r="E2305" s="47" t="s">
        <v>60</v>
      </c>
      <c r="F2305" s="48" t="n">
        <v>139678.8</v>
      </c>
      <c r="G2305" s="47" t="s">
        <v>68</v>
      </c>
      <c r="H2305" s="47" t="s">
        <v>45</v>
      </c>
      <c r="I2305" s="47" t="s">
        <v>151</v>
      </c>
      <c r="J2305" s="47" t="s">
        <v>30</v>
      </c>
      <c r="K2305" s="47" t="s">
        <v>33</v>
      </c>
    </row>
    <row r="2306" customFormat="false" ht="15" hidden="false" customHeight="false" outlineLevel="0" collapsed="false">
      <c r="A2306" s="0" t="s">
        <v>3428</v>
      </c>
      <c r="B2306" s="0" t="s">
        <v>1165</v>
      </c>
      <c r="D2306" s="46" t="n">
        <v>46171</v>
      </c>
      <c r="E2306" s="47" t="s">
        <v>62</v>
      </c>
      <c r="F2306" s="48" t="n">
        <v>187617.8</v>
      </c>
      <c r="G2306" s="47" t="s">
        <v>57</v>
      </c>
      <c r="H2306" s="47" t="s">
        <v>41</v>
      </c>
      <c r="I2306" s="47" t="s">
        <v>272</v>
      </c>
      <c r="J2306" s="47" t="s">
        <v>28</v>
      </c>
      <c r="K2306" s="47" t="s">
        <v>33</v>
      </c>
    </row>
    <row r="2307" customFormat="false" ht="15" hidden="false" customHeight="false" outlineLevel="0" collapsed="false">
      <c r="A2307" s="0" t="s">
        <v>3429</v>
      </c>
      <c r="B2307" s="0" t="s">
        <v>936</v>
      </c>
      <c r="D2307" s="46" t="n">
        <v>46028</v>
      </c>
      <c r="E2307" s="47" t="s">
        <v>55</v>
      </c>
      <c r="F2307" s="48" t="n">
        <v>73245.63</v>
      </c>
      <c r="G2307" s="47" t="s">
        <v>65</v>
      </c>
      <c r="H2307" s="47" t="s">
        <v>47</v>
      </c>
      <c r="I2307" s="47" t="s">
        <v>245</v>
      </c>
      <c r="J2307" s="47" t="s">
        <v>28</v>
      </c>
      <c r="K2307" s="47" t="s">
        <v>33</v>
      </c>
    </row>
    <row r="2308" customFormat="false" ht="15" hidden="false" customHeight="false" outlineLevel="0" collapsed="false">
      <c r="A2308" s="0" t="s">
        <v>3430</v>
      </c>
      <c r="B2308" s="0" t="s">
        <v>2645</v>
      </c>
      <c r="D2308" s="46" t="n">
        <v>46122</v>
      </c>
      <c r="E2308" s="47" t="s">
        <v>55</v>
      </c>
      <c r="F2308" s="48" t="n">
        <v>49323.95</v>
      </c>
      <c r="G2308" s="47" t="s">
        <v>66</v>
      </c>
      <c r="H2308" s="47" t="s">
        <v>48</v>
      </c>
      <c r="I2308" s="47" t="s">
        <v>114</v>
      </c>
      <c r="J2308" s="47" t="s">
        <v>28</v>
      </c>
      <c r="K2308" s="47" t="s">
        <v>34</v>
      </c>
    </row>
    <row r="2309" customFormat="false" ht="15" hidden="false" customHeight="false" outlineLevel="0" collapsed="false">
      <c r="A2309" s="0" t="s">
        <v>3431</v>
      </c>
      <c r="B2309" s="0" t="s">
        <v>397</v>
      </c>
      <c r="D2309" s="46" t="n">
        <v>46243</v>
      </c>
      <c r="E2309" s="47" t="s">
        <v>61</v>
      </c>
      <c r="F2309" s="48" t="n">
        <v>125431.86</v>
      </c>
      <c r="G2309" s="47" t="s">
        <v>57</v>
      </c>
      <c r="H2309" s="47" t="s">
        <v>42</v>
      </c>
      <c r="I2309" s="47" t="s">
        <v>398</v>
      </c>
      <c r="J2309" s="47" t="s">
        <v>28</v>
      </c>
      <c r="K2309" s="47" t="s">
        <v>34</v>
      </c>
    </row>
    <row r="2310" customFormat="false" ht="15" hidden="false" customHeight="false" outlineLevel="0" collapsed="false">
      <c r="A2310" s="0" t="s">
        <v>3432</v>
      </c>
      <c r="B2310" s="0" t="s">
        <v>348</v>
      </c>
      <c r="D2310" s="46" t="n">
        <v>45691</v>
      </c>
      <c r="E2310" s="47" t="s">
        <v>53</v>
      </c>
      <c r="F2310" s="48" t="n">
        <v>54984.48</v>
      </c>
      <c r="G2310" s="47" t="s">
        <v>53</v>
      </c>
      <c r="H2310" s="47" t="s">
        <v>46</v>
      </c>
      <c r="I2310" s="47" t="s">
        <v>148</v>
      </c>
      <c r="J2310" s="47" t="s">
        <v>28</v>
      </c>
      <c r="K2310" s="47" t="s">
        <v>34</v>
      </c>
    </row>
    <row r="2311" customFormat="false" ht="15" hidden="false" customHeight="false" outlineLevel="0" collapsed="false">
      <c r="A2311" s="0" t="s">
        <v>3433</v>
      </c>
      <c r="B2311" s="0" t="s">
        <v>855</v>
      </c>
      <c r="D2311" s="46" t="n">
        <v>45834</v>
      </c>
      <c r="E2311" s="47" t="s">
        <v>61</v>
      </c>
      <c r="F2311" s="48" t="n">
        <v>17012.33</v>
      </c>
      <c r="G2311" s="47" t="s">
        <v>68</v>
      </c>
      <c r="H2311" s="47" t="s">
        <v>41</v>
      </c>
      <c r="I2311" s="47" t="s">
        <v>86</v>
      </c>
      <c r="J2311" s="47" t="s">
        <v>28</v>
      </c>
      <c r="K2311" s="47" t="s">
        <v>33</v>
      </c>
    </row>
    <row r="2312" customFormat="false" ht="15" hidden="false" customHeight="false" outlineLevel="0" collapsed="false">
      <c r="A2312" s="0" t="s">
        <v>3434</v>
      </c>
      <c r="B2312" s="0" t="s">
        <v>153</v>
      </c>
      <c r="D2312" s="46" t="n">
        <v>46159</v>
      </c>
      <c r="E2312" s="47" t="s">
        <v>58</v>
      </c>
      <c r="F2312" s="48" t="n">
        <v>15300.92</v>
      </c>
      <c r="G2312" s="47" t="s">
        <v>66</v>
      </c>
      <c r="H2312" s="47" t="s">
        <v>40</v>
      </c>
      <c r="I2312" s="47" t="s">
        <v>89</v>
      </c>
      <c r="J2312" s="47" t="s">
        <v>28</v>
      </c>
      <c r="K2312" s="47" t="s">
        <v>34</v>
      </c>
    </row>
    <row r="2313" customFormat="false" ht="15" hidden="false" customHeight="false" outlineLevel="0" collapsed="false">
      <c r="A2313" s="0" t="s">
        <v>3435</v>
      </c>
      <c r="B2313" s="0" t="s">
        <v>3020</v>
      </c>
      <c r="D2313" s="46" t="n">
        <v>45702</v>
      </c>
      <c r="E2313" s="47" t="s">
        <v>55</v>
      </c>
      <c r="F2313" s="48" t="n">
        <v>31855.78</v>
      </c>
      <c r="G2313" s="47" t="s">
        <v>65</v>
      </c>
      <c r="H2313" s="47" t="s">
        <v>46</v>
      </c>
      <c r="I2313" s="47" t="s">
        <v>148</v>
      </c>
      <c r="J2313" s="47" t="s">
        <v>28</v>
      </c>
      <c r="K2313" s="47" t="s">
        <v>33</v>
      </c>
    </row>
    <row r="2314" customFormat="false" ht="15" hidden="false" customHeight="false" outlineLevel="0" collapsed="false">
      <c r="A2314" s="0" t="s">
        <v>3436</v>
      </c>
      <c r="B2314" s="0" t="s">
        <v>261</v>
      </c>
      <c r="D2314" s="46" t="n">
        <v>45790</v>
      </c>
      <c r="E2314" s="47" t="s">
        <v>55</v>
      </c>
      <c r="F2314" s="48" t="n">
        <v>170651.16</v>
      </c>
      <c r="G2314" s="47" t="s">
        <v>66</v>
      </c>
      <c r="H2314" s="47" t="s">
        <v>43</v>
      </c>
      <c r="I2314" s="47" t="s">
        <v>102</v>
      </c>
      <c r="J2314" s="47" t="s">
        <v>29</v>
      </c>
      <c r="K2314" s="47" t="s">
        <v>33</v>
      </c>
    </row>
    <row r="2315" customFormat="false" ht="15" hidden="false" customHeight="false" outlineLevel="0" collapsed="false">
      <c r="A2315" s="0" t="s">
        <v>3437</v>
      </c>
      <c r="B2315" s="0" t="s">
        <v>522</v>
      </c>
      <c r="D2315" s="46" t="n">
        <v>46059</v>
      </c>
      <c r="E2315" s="47" t="s">
        <v>53</v>
      </c>
      <c r="F2315" s="48" t="n">
        <v>66146.05</v>
      </c>
      <c r="G2315" s="47" t="s">
        <v>65</v>
      </c>
      <c r="H2315" s="47" t="s">
        <v>42</v>
      </c>
      <c r="I2315" s="47" t="s">
        <v>105</v>
      </c>
      <c r="J2315" s="47" t="s">
        <v>28</v>
      </c>
      <c r="K2315" s="47" t="s">
        <v>33</v>
      </c>
    </row>
    <row r="2316" customFormat="false" ht="15" hidden="false" customHeight="false" outlineLevel="0" collapsed="false">
      <c r="A2316" s="0" t="s">
        <v>3438</v>
      </c>
      <c r="B2316" s="0" t="s">
        <v>1802</v>
      </c>
      <c r="D2316" s="46" t="n">
        <v>45725</v>
      </c>
      <c r="E2316" s="47" t="s">
        <v>58</v>
      </c>
      <c r="F2316" s="48" t="n">
        <v>18753.66</v>
      </c>
      <c r="G2316" s="47" t="s">
        <v>57</v>
      </c>
      <c r="H2316" s="47" t="s">
        <v>43</v>
      </c>
      <c r="I2316" s="47" t="s">
        <v>201</v>
      </c>
      <c r="J2316" s="47" t="s">
        <v>28</v>
      </c>
      <c r="K2316" s="47" t="s">
        <v>33</v>
      </c>
    </row>
    <row r="2317" customFormat="false" ht="15" hidden="false" customHeight="false" outlineLevel="0" collapsed="false">
      <c r="A2317" s="0" t="s">
        <v>3439</v>
      </c>
      <c r="B2317" s="0" t="s">
        <v>455</v>
      </c>
      <c r="D2317" s="46" t="n">
        <v>45789</v>
      </c>
      <c r="E2317" s="47" t="s">
        <v>55</v>
      </c>
      <c r="F2317" s="48" t="n">
        <v>168767.94</v>
      </c>
      <c r="G2317" s="47" t="s">
        <v>65</v>
      </c>
      <c r="H2317" s="47" t="s">
        <v>44</v>
      </c>
      <c r="I2317" s="47" t="s">
        <v>80</v>
      </c>
      <c r="J2317" s="47" t="s">
        <v>28</v>
      </c>
      <c r="K2317" s="47" t="s">
        <v>34</v>
      </c>
    </row>
    <row r="2318" customFormat="false" ht="15" hidden="false" customHeight="false" outlineLevel="0" collapsed="false">
      <c r="A2318" s="0" t="s">
        <v>3440</v>
      </c>
      <c r="B2318" s="0" t="s">
        <v>1748</v>
      </c>
      <c r="C2318" s="0" t="s">
        <v>3441</v>
      </c>
      <c r="D2318" s="46" t="n">
        <v>45831</v>
      </c>
      <c r="E2318" s="47" t="s">
        <v>53</v>
      </c>
      <c r="F2318" s="48" t="n">
        <v>160240.15</v>
      </c>
      <c r="G2318" s="47" t="s">
        <v>53</v>
      </c>
      <c r="H2318" s="47" t="s">
        <v>46</v>
      </c>
      <c r="I2318" s="47" t="s">
        <v>242</v>
      </c>
      <c r="J2318" s="47" t="s">
        <v>28</v>
      </c>
      <c r="K2318" s="47" t="s">
        <v>34</v>
      </c>
    </row>
    <row r="2319" customFormat="false" ht="15" hidden="false" customHeight="false" outlineLevel="0" collapsed="false">
      <c r="A2319" s="0" t="s">
        <v>3442</v>
      </c>
      <c r="B2319" s="0" t="s">
        <v>862</v>
      </c>
      <c r="D2319" s="46" t="n">
        <v>46231</v>
      </c>
      <c r="E2319" s="47" t="s">
        <v>59</v>
      </c>
      <c r="F2319" s="48" t="n">
        <v>154046.82</v>
      </c>
      <c r="G2319" s="47" t="s">
        <v>68</v>
      </c>
      <c r="H2319" s="47" t="s">
        <v>45</v>
      </c>
      <c r="I2319" s="47" t="s">
        <v>95</v>
      </c>
      <c r="J2319" s="47" t="s">
        <v>28</v>
      </c>
      <c r="K2319" s="47" t="s">
        <v>33</v>
      </c>
    </row>
    <row r="2320" customFormat="false" ht="15" hidden="false" customHeight="false" outlineLevel="0" collapsed="false">
      <c r="A2320" s="0" t="s">
        <v>3443</v>
      </c>
      <c r="B2320" s="0" t="s">
        <v>1104</v>
      </c>
      <c r="D2320" s="46" t="n">
        <v>46099</v>
      </c>
      <c r="E2320" s="47" t="s">
        <v>61</v>
      </c>
      <c r="F2320" s="48" t="n">
        <v>155331.53</v>
      </c>
      <c r="G2320" s="47" t="s">
        <v>53</v>
      </c>
      <c r="H2320" s="47" t="s">
        <v>39</v>
      </c>
      <c r="I2320" s="47" t="s">
        <v>98</v>
      </c>
      <c r="J2320" s="47" t="s">
        <v>28</v>
      </c>
      <c r="K2320" s="47" t="s">
        <v>34</v>
      </c>
    </row>
    <row r="2321" customFormat="false" ht="15" hidden="false" customHeight="false" outlineLevel="0" collapsed="false">
      <c r="A2321" s="0" t="s">
        <v>3444</v>
      </c>
      <c r="B2321" s="0" t="s">
        <v>3063</v>
      </c>
      <c r="D2321" s="46" t="n">
        <v>46061</v>
      </c>
      <c r="E2321" s="47" t="s">
        <v>53</v>
      </c>
      <c r="F2321" s="48" t="n">
        <v>150929.97</v>
      </c>
      <c r="G2321" s="47" t="s">
        <v>68</v>
      </c>
      <c r="H2321" s="47" t="s">
        <v>39</v>
      </c>
      <c r="I2321" s="47" t="s">
        <v>145</v>
      </c>
      <c r="J2321" s="47" t="s">
        <v>28</v>
      </c>
      <c r="K2321" s="47" t="s">
        <v>33</v>
      </c>
    </row>
    <row r="2322" customFormat="false" ht="15" hidden="false" customHeight="false" outlineLevel="0" collapsed="false">
      <c r="A2322" s="0" t="s">
        <v>3445</v>
      </c>
      <c r="B2322" s="0" t="s">
        <v>1769</v>
      </c>
      <c r="C2322" s="0" t="s">
        <v>3446</v>
      </c>
      <c r="D2322" s="46" t="n">
        <v>46007</v>
      </c>
      <c r="E2322" s="47" t="s">
        <v>55</v>
      </c>
      <c r="F2322" s="48" t="n">
        <v>302.37</v>
      </c>
      <c r="G2322" s="47" t="s">
        <v>66</v>
      </c>
      <c r="H2322" s="47" t="s">
        <v>40</v>
      </c>
      <c r="I2322" s="47" t="s">
        <v>89</v>
      </c>
      <c r="J2322" s="47" t="s">
        <v>28</v>
      </c>
      <c r="K2322" s="47" t="s">
        <v>34</v>
      </c>
    </row>
    <row r="2323" customFormat="false" ht="15" hidden="false" customHeight="false" outlineLevel="0" collapsed="false">
      <c r="A2323" s="0" t="s">
        <v>3447</v>
      </c>
      <c r="B2323" s="0" t="s">
        <v>2523</v>
      </c>
      <c r="D2323" s="46" t="n">
        <v>45941</v>
      </c>
      <c r="E2323" s="47" t="s">
        <v>61</v>
      </c>
      <c r="F2323" s="48" t="n">
        <v>113002.46</v>
      </c>
      <c r="G2323" s="47" t="s">
        <v>65</v>
      </c>
      <c r="H2323" s="47" t="s">
        <v>45</v>
      </c>
      <c r="I2323" s="47" t="s">
        <v>217</v>
      </c>
      <c r="J2323" s="47" t="s">
        <v>28</v>
      </c>
      <c r="K2323" s="47" t="s">
        <v>34</v>
      </c>
    </row>
    <row r="2324" customFormat="false" ht="15" hidden="false" customHeight="false" outlineLevel="0" collapsed="false">
      <c r="A2324" s="0" t="s">
        <v>3448</v>
      </c>
      <c r="B2324" s="0" t="s">
        <v>100</v>
      </c>
      <c r="D2324" s="46" t="n">
        <v>45850</v>
      </c>
      <c r="E2324" s="47" t="s">
        <v>53</v>
      </c>
      <c r="F2324" s="48" t="n">
        <v>137482.69</v>
      </c>
      <c r="G2324" s="47" t="s">
        <v>53</v>
      </c>
      <c r="H2324" s="47" t="s">
        <v>43</v>
      </c>
      <c r="I2324" s="47" t="s">
        <v>102</v>
      </c>
      <c r="J2324" s="47" t="s">
        <v>28</v>
      </c>
      <c r="K2324" s="47" t="s">
        <v>34</v>
      </c>
    </row>
    <row r="2325" customFormat="false" ht="15" hidden="false" customHeight="false" outlineLevel="0" collapsed="false">
      <c r="A2325" s="0" t="s">
        <v>3449</v>
      </c>
      <c r="B2325" s="0" t="s">
        <v>969</v>
      </c>
      <c r="D2325" s="46" t="n">
        <v>45867</v>
      </c>
      <c r="E2325" s="47" t="s">
        <v>53</v>
      </c>
      <c r="F2325" s="48" t="n">
        <v>103751.87</v>
      </c>
      <c r="G2325" s="47" t="s">
        <v>65</v>
      </c>
      <c r="H2325" s="47" t="s">
        <v>46</v>
      </c>
      <c r="I2325" s="47" t="s">
        <v>148</v>
      </c>
      <c r="J2325" s="47" t="s">
        <v>28</v>
      </c>
      <c r="K2325" s="47" t="s">
        <v>33</v>
      </c>
    </row>
    <row r="2326" customFormat="false" ht="15" hidden="false" customHeight="false" outlineLevel="0" collapsed="false">
      <c r="A2326" s="0" t="s">
        <v>3450</v>
      </c>
      <c r="B2326" s="0" t="s">
        <v>1815</v>
      </c>
      <c r="D2326" s="46" t="n">
        <v>46257</v>
      </c>
      <c r="E2326" s="47" t="s">
        <v>61</v>
      </c>
      <c r="F2326" s="48" t="n">
        <v>144666.41</v>
      </c>
      <c r="G2326" s="47" t="s">
        <v>65</v>
      </c>
      <c r="H2326" s="47" t="s">
        <v>41</v>
      </c>
      <c r="I2326" s="47" t="s">
        <v>293</v>
      </c>
      <c r="J2326" s="47" t="s">
        <v>28</v>
      </c>
      <c r="K2326" s="47" t="s">
        <v>34</v>
      </c>
    </row>
    <row r="2327" customFormat="false" ht="15" hidden="false" customHeight="false" outlineLevel="0" collapsed="false">
      <c r="A2327" s="0" t="s">
        <v>3451</v>
      </c>
      <c r="B2327" s="0" t="s">
        <v>346</v>
      </c>
      <c r="D2327" s="46" t="n">
        <v>46048</v>
      </c>
      <c r="E2327" s="47" t="s">
        <v>59</v>
      </c>
      <c r="F2327" s="48" t="n">
        <v>49210.51</v>
      </c>
      <c r="G2327" s="47" t="s">
        <v>68</v>
      </c>
      <c r="H2327" s="47" t="s">
        <v>41</v>
      </c>
      <c r="I2327" s="47" t="s">
        <v>86</v>
      </c>
      <c r="J2327" s="47" t="s">
        <v>28</v>
      </c>
      <c r="K2327" s="47" t="s">
        <v>34</v>
      </c>
    </row>
    <row r="2328" customFormat="false" ht="15" hidden="false" customHeight="false" outlineLevel="0" collapsed="false">
      <c r="A2328" s="0" t="s">
        <v>3452</v>
      </c>
      <c r="B2328" s="0" t="s">
        <v>542</v>
      </c>
      <c r="D2328" s="46" t="n">
        <v>46067</v>
      </c>
      <c r="E2328" s="47" t="s">
        <v>55</v>
      </c>
      <c r="F2328" s="48" t="n">
        <v>178724.83</v>
      </c>
      <c r="G2328" s="47" t="s">
        <v>53</v>
      </c>
      <c r="H2328" s="47" t="s">
        <v>42</v>
      </c>
      <c r="I2328" s="47" t="s">
        <v>398</v>
      </c>
      <c r="J2328" s="47" t="s">
        <v>28</v>
      </c>
      <c r="K2328" s="47" t="s">
        <v>34</v>
      </c>
    </row>
    <row r="2329" customFormat="false" ht="15" hidden="false" customHeight="false" outlineLevel="0" collapsed="false">
      <c r="A2329" s="0" t="s">
        <v>3453</v>
      </c>
      <c r="B2329" s="0" t="s">
        <v>1511</v>
      </c>
      <c r="D2329" s="46" t="n">
        <v>45799</v>
      </c>
      <c r="E2329" s="47" t="s">
        <v>61</v>
      </c>
      <c r="F2329" s="48" t="n">
        <v>30248.62</v>
      </c>
      <c r="G2329" s="47" t="s">
        <v>57</v>
      </c>
      <c r="H2329" s="47" t="s">
        <v>45</v>
      </c>
      <c r="I2329" s="47" t="s">
        <v>217</v>
      </c>
      <c r="J2329" s="47" t="s">
        <v>29</v>
      </c>
      <c r="K2329" s="47" t="s">
        <v>34</v>
      </c>
    </row>
    <row r="2330" customFormat="false" ht="15" hidden="false" customHeight="false" outlineLevel="0" collapsed="false">
      <c r="A2330" s="0" t="s">
        <v>3454</v>
      </c>
      <c r="B2330" s="0" t="s">
        <v>478</v>
      </c>
      <c r="D2330" s="46" t="n">
        <v>46081</v>
      </c>
      <c r="E2330" s="47" t="s">
        <v>60</v>
      </c>
      <c r="F2330" s="48" t="n">
        <v>169681.28</v>
      </c>
      <c r="G2330" s="47" t="s">
        <v>65</v>
      </c>
      <c r="H2330" s="47" t="s">
        <v>48</v>
      </c>
      <c r="I2330" s="47" t="s">
        <v>114</v>
      </c>
      <c r="J2330" s="47" t="s">
        <v>28</v>
      </c>
      <c r="K2330" s="47" t="s">
        <v>34</v>
      </c>
    </row>
    <row r="2331" customFormat="false" ht="15" hidden="false" customHeight="false" outlineLevel="0" collapsed="false">
      <c r="A2331" s="0" t="s">
        <v>3455</v>
      </c>
      <c r="B2331" s="0" t="s">
        <v>1892</v>
      </c>
      <c r="D2331" s="46" t="n">
        <v>46110</v>
      </c>
      <c r="E2331" s="47" t="s">
        <v>58</v>
      </c>
      <c r="F2331" s="48" t="n">
        <v>60874.35</v>
      </c>
      <c r="G2331" s="47" t="s">
        <v>53</v>
      </c>
      <c r="H2331" s="47" t="s">
        <v>44</v>
      </c>
      <c r="I2331" s="47" t="s">
        <v>226</v>
      </c>
      <c r="J2331" s="47" t="s">
        <v>28</v>
      </c>
      <c r="K2331" s="47" t="s">
        <v>33</v>
      </c>
    </row>
    <row r="2332" customFormat="false" ht="15" hidden="false" customHeight="false" outlineLevel="0" collapsed="false">
      <c r="A2332" s="0" t="s">
        <v>3456</v>
      </c>
      <c r="B2332" s="0" t="s">
        <v>1042</v>
      </c>
      <c r="D2332" s="46" t="n">
        <v>46019</v>
      </c>
      <c r="E2332" s="47" t="s">
        <v>55</v>
      </c>
      <c r="F2332" s="48" t="n">
        <v>164903.93</v>
      </c>
      <c r="G2332" s="47" t="s">
        <v>66</v>
      </c>
      <c r="H2332" s="47" t="s">
        <v>47</v>
      </c>
      <c r="I2332" s="47" t="s">
        <v>166</v>
      </c>
      <c r="J2332" s="47" t="s">
        <v>28</v>
      </c>
      <c r="K2332" s="47" t="s">
        <v>33</v>
      </c>
    </row>
    <row r="2333" customFormat="false" ht="15" hidden="false" customHeight="false" outlineLevel="0" collapsed="false">
      <c r="A2333" s="0" t="s">
        <v>3457</v>
      </c>
      <c r="B2333" s="0" t="s">
        <v>647</v>
      </c>
      <c r="D2333" s="46" t="n">
        <v>45932</v>
      </c>
      <c r="E2333" s="47" t="s">
        <v>53</v>
      </c>
      <c r="F2333" s="48" t="n">
        <v>138595.81</v>
      </c>
      <c r="G2333" s="47" t="s">
        <v>66</v>
      </c>
      <c r="H2333" s="47" t="s">
        <v>40</v>
      </c>
      <c r="I2333" s="47" t="s">
        <v>253</v>
      </c>
      <c r="J2333" s="47" t="s">
        <v>28</v>
      </c>
      <c r="K2333" s="47" t="s">
        <v>34</v>
      </c>
    </row>
    <row r="2334" customFormat="false" ht="15" hidden="false" customHeight="false" outlineLevel="0" collapsed="false">
      <c r="A2334" s="0" t="s">
        <v>3458</v>
      </c>
      <c r="B2334" s="0" t="s">
        <v>444</v>
      </c>
      <c r="C2334" s="0" t="s">
        <v>3459</v>
      </c>
      <c r="D2334" s="46" t="n">
        <v>46264</v>
      </c>
      <c r="E2334" s="47" t="s">
        <v>53</v>
      </c>
      <c r="F2334" s="48" t="n">
        <v>54806.12</v>
      </c>
      <c r="G2334" s="47" t="s">
        <v>53</v>
      </c>
      <c r="H2334" s="47" t="s">
        <v>46</v>
      </c>
      <c r="I2334" s="47" t="s">
        <v>121</v>
      </c>
      <c r="J2334" s="47" t="s">
        <v>28</v>
      </c>
      <c r="K2334" s="47" t="s">
        <v>34</v>
      </c>
    </row>
    <row r="2335" customFormat="false" ht="15" hidden="false" customHeight="false" outlineLevel="0" collapsed="false">
      <c r="A2335" s="0" t="s">
        <v>3460</v>
      </c>
      <c r="B2335" s="0" t="s">
        <v>758</v>
      </c>
      <c r="D2335" s="46" t="n">
        <v>45809</v>
      </c>
      <c r="E2335" s="47" t="s">
        <v>58</v>
      </c>
      <c r="F2335" s="48" t="n">
        <v>39522.61</v>
      </c>
      <c r="G2335" s="47" t="s">
        <v>65</v>
      </c>
      <c r="H2335" s="47" t="s">
        <v>39</v>
      </c>
      <c r="I2335" s="47" t="s">
        <v>177</v>
      </c>
      <c r="J2335" s="47" t="s">
        <v>28</v>
      </c>
      <c r="K2335" s="47" t="s">
        <v>34</v>
      </c>
    </row>
    <row r="2336" customFormat="false" ht="15" hidden="false" customHeight="false" outlineLevel="0" collapsed="false">
      <c r="A2336" s="0" t="s">
        <v>3461</v>
      </c>
      <c r="B2336" s="0" t="s">
        <v>3030</v>
      </c>
      <c r="D2336" s="46" t="n">
        <v>46083</v>
      </c>
      <c r="E2336" s="47" t="s">
        <v>53</v>
      </c>
      <c r="F2336" s="48" t="n">
        <v>155261.14</v>
      </c>
      <c r="G2336" s="47" t="s">
        <v>57</v>
      </c>
      <c r="H2336" s="47" t="s">
        <v>43</v>
      </c>
      <c r="I2336" s="47" t="s">
        <v>102</v>
      </c>
      <c r="J2336" s="47" t="s">
        <v>28</v>
      </c>
      <c r="K2336" s="47" t="s">
        <v>34</v>
      </c>
    </row>
    <row r="2337" customFormat="false" ht="15" hidden="false" customHeight="false" outlineLevel="0" collapsed="false">
      <c r="A2337" s="0" t="s">
        <v>3462</v>
      </c>
      <c r="B2337" s="0" t="s">
        <v>853</v>
      </c>
      <c r="D2337" s="46" t="n">
        <v>46271</v>
      </c>
      <c r="E2337" s="47" t="s">
        <v>61</v>
      </c>
      <c r="F2337" s="48" t="n">
        <v>343.84</v>
      </c>
      <c r="G2337" s="47" t="s">
        <v>66</v>
      </c>
      <c r="H2337" s="47" t="s">
        <v>44</v>
      </c>
      <c r="I2337" s="47" t="s">
        <v>132</v>
      </c>
      <c r="J2337" s="47" t="s">
        <v>28</v>
      </c>
      <c r="K2337" s="47" t="s">
        <v>33</v>
      </c>
    </row>
    <row r="2338" customFormat="false" ht="15" hidden="false" customHeight="false" outlineLevel="0" collapsed="false">
      <c r="A2338" s="0" t="s">
        <v>3463</v>
      </c>
      <c r="B2338" s="0" t="s">
        <v>3464</v>
      </c>
      <c r="D2338" s="46" t="n">
        <v>46179</v>
      </c>
      <c r="E2338" s="47" t="s">
        <v>55</v>
      </c>
      <c r="F2338" s="48" t="n">
        <v>27273.33</v>
      </c>
      <c r="G2338" s="47" t="s">
        <v>65</v>
      </c>
      <c r="H2338" s="47" t="s">
        <v>39</v>
      </c>
      <c r="I2338" s="47" t="s">
        <v>98</v>
      </c>
      <c r="J2338" s="47" t="s">
        <v>28</v>
      </c>
      <c r="K2338" s="47" t="s">
        <v>34</v>
      </c>
    </row>
    <row r="2339" customFormat="false" ht="15" hidden="false" customHeight="false" outlineLevel="0" collapsed="false">
      <c r="A2339" s="0" t="s">
        <v>3465</v>
      </c>
      <c r="B2339" s="0" t="s">
        <v>2450</v>
      </c>
      <c r="D2339" s="46" t="n">
        <v>45896</v>
      </c>
      <c r="E2339" s="47" t="s">
        <v>58</v>
      </c>
      <c r="F2339" s="48" t="n">
        <v>113190.73</v>
      </c>
      <c r="G2339" s="47" t="s">
        <v>66</v>
      </c>
      <c r="H2339" s="47" t="s">
        <v>43</v>
      </c>
      <c r="I2339" s="47" t="s">
        <v>102</v>
      </c>
      <c r="J2339" s="47" t="s">
        <v>28</v>
      </c>
      <c r="K2339" s="47" t="s">
        <v>34</v>
      </c>
    </row>
    <row r="2340" customFormat="false" ht="15" hidden="false" customHeight="false" outlineLevel="0" collapsed="false">
      <c r="A2340" s="0" t="s">
        <v>3466</v>
      </c>
      <c r="B2340" s="0" t="s">
        <v>362</v>
      </c>
      <c r="D2340" s="46" t="n">
        <v>46062</v>
      </c>
      <c r="E2340" s="47" t="s">
        <v>58</v>
      </c>
      <c r="F2340" s="48" t="n">
        <v>128773.11</v>
      </c>
      <c r="G2340" s="47" t="s">
        <v>66</v>
      </c>
      <c r="H2340" s="47" t="s">
        <v>41</v>
      </c>
      <c r="I2340" s="47" t="s">
        <v>293</v>
      </c>
      <c r="J2340" s="47" t="s">
        <v>28</v>
      </c>
      <c r="K2340" s="47" t="s">
        <v>34</v>
      </c>
    </row>
    <row r="2341" customFormat="false" ht="15" hidden="false" customHeight="false" outlineLevel="0" collapsed="false">
      <c r="A2341" s="0" t="s">
        <v>3467</v>
      </c>
      <c r="B2341" s="0" t="s">
        <v>926</v>
      </c>
      <c r="D2341" s="46" t="n">
        <v>45869</v>
      </c>
      <c r="E2341" s="47" t="s">
        <v>59</v>
      </c>
      <c r="F2341" s="48" t="n">
        <v>110470.28</v>
      </c>
      <c r="G2341" s="47" t="s">
        <v>66</v>
      </c>
      <c r="H2341" s="47" t="s">
        <v>39</v>
      </c>
      <c r="I2341" s="47" t="s">
        <v>177</v>
      </c>
      <c r="J2341" s="47" t="s">
        <v>28</v>
      </c>
      <c r="K2341" s="47" t="s">
        <v>34</v>
      </c>
    </row>
    <row r="2342" customFormat="false" ht="15" hidden="false" customHeight="false" outlineLevel="0" collapsed="false">
      <c r="A2342" s="0" t="s">
        <v>3468</v>
      </c>
      <c r="B2342" s="0" t="s">
        <v>1238</v>
      </c>
      <c r="C2342" s="0" t="s">
        <v>3469</v>
      </c>
      <c r="D2342" s="46" t="n">
        <v>45781</v>
      </c>
      <c r="E2342" s="47" t="s">
        <v>60</v>
      </c>
      <c r="F2342" s="48" t="n">
        <v>22595.95</v>
      </c>
      <c r="G2342" s="47" t="s">
        <v>65</v>
      </c>
      <c r="H2342" s="47" t="s">
        <v>39</v>
      </c>
      <c r="I2342" s="47" t="s">
        <v>145</v>
      </c>
      <c r="J2342" s="47" t="s">
        <v>28</v>
      </c>
      <c r="K2342" s="47" t="s">
        <v>33</v>
      </c>
    </row>
    <row r="2343" customFormat="false" ht="15" hidden="false" customHeight="false" outlineLevel="0" collapsed="false">
      <c r="A2343" s="0" t="s">
        <v>3470</v>
      </c>
      <c r="B2343" s="0" t="s">
        <v>3286</v>
      </c>
      <c r="D2343" s="46" t="n">
        <v>46053</v>
      </c>
      <c r="E2343" s="47" t="s">
        <v>60</v>
      </c>
      <c r="F2343" s="48" t="n">
        <v>121477.32</v>
      </c>
      <c r="G2343" s="47" t="s">
        <v>68</v>
      </c>
      <c r="H2343" s="47" t="s">
        <v>43</v>
      </c>
      <c r="I2343" s="47" t="s">
        <v>117</v>
      </c>
      <c r="J2343" s="47" t="s">
        <v>28</v>
      </c>
      <c r="K2343" s="47" t="s">
        <v>33</v>
      </c>
    </row>
    <row r="2344" customFormat="false" ht="15" hidden="false" customHeight="false" outlineLevel="0" collapsed="false">
      <c r="A2344" s="0" t="s">
        <v>3471</v>
      </c>
      <c r="B2344" s="0" t="s">
        <v>1826</v>
      </c>
      <c r="D2344" s="46" t="n">
        <v>45830</v>
      </c>
      <c r="E2344" s="47" t="s">
        <v>60</v>
      </c>
      <c r="F2344" s="48" t="n">
        <v>33688.78</v>
      </c>
      <c r="G2344" s="47" t="s">
        <v>66</v>
      </c>
      <c r="H2344" s="47" t="s">
        <v>43</v>
      </c>
      <c r="I2344" s="47" t="s">
        <v>102</v>
      </c>
      <c r="J2344" s="47" t="s">
        <v>28</v>
      </c>
      <c r="K2344" s="47" t="s">
        <v>33</v>
      </c>
    </row>
    <row r="2345" customFormat="false" ht="15" hidden="false" customHeight="false" outlineLevel="0" collapsed="false">
      <c r="A2345" s="0" t="s">
        <v>3472</v>
      </c>
      <c r="B2345" s="0" t="s">
        <v>1168</v>
      </c>
      <c r="D2345" s="46" t="n">
        <v>46062</v>
      </c>
      <c r="E2345" s="47" t="s">
        <v>60</v>
      </c>
      <c r="F2345" s="48" t="n">
        <v>108820.61</v>
      </c>
      <c r="G2345" s="47" t="s">
        <v>53</v>
      </c>
      <c r="H2345" s="47" t="s">
        <v>46</v>
      </c>
      <c r="I2345" s="47" t="s">
        <v>242</v>
      </c>
      <c r="J2345" s="47" t="s">
        <v>29</v>
      </c>
      <c r="K2345" s="47" t="s">
        <v>33</v>
      </c>
    </row>
    <row r="2346" customFormat="false" ht="15" hidden="false" customHeight="false" outlineLevel="0" collapsed="false">
      <c r="A2346" s="0" t="s">
        <v>3473</v>
      </c>
      <c r="B2346" s="0" t="s">
        <v>1308</v>
      </c>
      <c r="D2346" s="46" t="n">
        <v>46158</v>
      </c>
      <c r="E2346" s="47" t="s">
        <v>53</v>
      </c>
      <c r="F2346" s="48" t="n">
        <v>62346.34</v>
      </c>
      <c r="G2346" s="47" t="s">
        <v>57</v>
      </c>
      <c r="H2346" s="47" t="s">
        <v>48</v>
      </c>
      <c r="I2346" s="47" t="s">
        <v>111</v>
      </c>
      <c r="J2346" s="47" t="s">
        <v>28</v>
      </c>
      <c r="K2346" s="47" t="s">
        <v>34</v>
      </c>
    </row>
    <row r="2347" customFormat="false" ht="15" hidden="false" customHeight="false" outlineLevel="0" collapsed="false">
      <c r="A2347" s="0" t="s">
        <v>3474</v>
      </c>
      <c r="B2347" s="0" t="s">
        <v>534</v>
      </c>
      <c r="C2347" s="0" t="s">
        <v>3475</v>
      </c>
      <c r="D2347" s="46" t="n">
        <v>46050</v>
      </c>
      <c r="E2347" s="47" t="s">
        <v>55</v>
      </c>
      <c r="F2347" s="48" t="n">
        <v>42937.09</v>
      </c>
      <c r="G2347" s="47" t="s">
        <v>53</v>
      </c>
      <c r="H2347" s="47" t="s">
        <v>42</v>
      </c>
      <c r="I2347" s="47" t="s">
        <v>105</v>
      </c>
      <c r="J2347" s="47" t="s">
        <v>28</v>
      </c>
      <c r="K2347" s="47" t="s">
        <v>33</v>
      </c>
    </row>
    <row r="2348" customFormat="false" ht="15" hidden="false" customHeight="false" outlineLevel="0" collapsed="false">
      <c r="A2348" s="0" t="s">
        <v>3476</v>
      </c>
      <c r="B2348" s="0" t="s">
        <v>664</v>
      </c>
      <c r="D2348" s="46" t="n">
        <v>46243</v>
      </c>
      <c r="E2348" s="47" t="s">
        <v>59</v>
      </c>
      <c r="F2348" s="48" t="n">
        <v>57144.84</v>
      </c>
      <c r="G2348" s="47" t="s">
        <v>66</v>
      </c>
      <c r="H2348" s="47" t="s">
        <v>43</v>
      </c>
      <c r="I2348" s="47" t="s">
        <v>117</v>
      </c>
      <c r="J2348" s="47" t="s">
        <v>28</v>
      </c>
      <c r="K2348" s="47" t="s">
        <v>34</v>
      </c>
    </row>
    <row r="2349" customFormat="false" ht="15" hidden="false" customHeight="false" outlineLevel="0" collapsed="false">
      <c r="A2349" s="0" t="s">
        <v>3477</v>
      </c>
      <c r="B2349" s="0" t="s">
        <v>3478</v>
      </c>
      <c r="C2349" s="0" t="s">
        <v>3479</v>
      </c>
      <c r="D2349" s="46" t="n">
        <v>46033</v>
      </c>
      <c r="E2349" s="47" t="s">
        <v>62</v>
      </c>
      <c r="F2349" s="48" t="n">
        <v>83699.8</v>
      </c>
      <c r="G2349" s="47" t="s">
        <v>65</v>
      </c>
      <c r="H2349" s="47" t="s">
        <v>48</v>
      </c>
      <c r="I2349" s="47" t="s">
        <v>111</v>
      </c>
      <c r="J2349" s="47" t="s">
        <v>28</v>
      </c>
      <c r="K2349" s="47" t="s">
        <v>33</v>
      </c>
    </row>
    <row r="2350" customFormat="false" ht="15" hidden="false" customHeight="false" outlineLevel="0" collapsed="false">
      <c r="A2350" s="0" t="s">
        <v>3480</v>
      </c>
      <c r="B2350" s="0" t="s">
        <v>1962</v>
      </c>
      <c r="D2350" s="46" t="n">
        <v>45969</v>
      </c>
      <c r="E2350" s="47" t="s">
        <v>55</v>
      </c>
      <c r="F2350" s="48" t="n">
        <v>188454.74</v>
      </c>
      <c r="G2350" s="47" t="s">
        <v>57</v>
      </c>
      <c r="H2350" s="47" t="s">
        <v>43</v>
      </c>
      <c r="I2350" s="47" t="s">
        <v>117</v>
      </c>
      <c r="J2350" s="47" t="s">
        <v>28</v>
      </c>
      <c r="K2350" s="47" t="s">
        <v>33</v>
      </c>
    </row>
    <row r="2351" customFormat="false" ht="15" hidden="false" customHeight="false" outlineLevel="0" collapsed="false">
      <c r="A2351" s="0" t="s">
        <v>3481</v>
      </c>
      <c r="B2351" s="0" t="s">
        <v>3482</v>
      </c>
      <c r="D2351" s="46" t="n">
        <v>46231</v>
      </c>
      <c r="E2351" s="47" t="s">
        <v>59</v>
      </c>
      <c r="F2351" s="48" t="n">
        <v>154446.97</v>
      </c>
      <c r="G2351" s="47" t="s">
        <v>57</v>
      </c>
      <c r="H2351" s="47" t="s">
        <v>44</v>
      </c>
      <c r="I2351" s="47" t="s">
        <v>226</v>
      </c>
      <c r="J2351" s="47" t="s">
        <v>28</v>
      </c>
      <c r="K2351" s="47" t="s">
        <v>34</v>
      </c>
    </row>
    <row r="2352" customFormat="false" ht="15" hidden="false" customHeight="false" outlineLevel="0" collapsed="false">
      <c r="A2352" s="0" t="s">
        <v>3483</v>
      </c>
      <c r="B2352" s="0" t="s">
        <v>828</v>
      </c>
      <c r="D2352" s="46" t="n">
        <v>45726</v>
      </c>
      <c r="E2352" s="47" t="s">
        <v>53</v>
      </c>
      <c r="F2352" s="48" t="n">
        <v>110895.46</v>
      </c>
      <c r="G2352" s="47" t="s">
        <v>65</v>
      </c>
      <c r="H2352" s="47" t="s">
        <v>45</v>
      </c>
      <c r="I2352" s="47" t="s">
        <v>217</v>
      </c>
      <c r="J2352" s="47" t="s">
        <v>28</v>
      </c>
      <c r="K2352" s="47" t="s">
        <v>34</v>
      </c>
    </row>
    <row r="2353" customFormat="false" ht="15" hidden="false" customHeight="false" outlineLevel="0" collapsed="false">
      <c r="A2353" s="0" t="s">
        <v>3484</v>
      </c>
      <c r="B2353" s="0" t="s">
        <v>162</v>
      </c>
      <c r="D2353" s="46" t="n">
        <v>46015</v>
      </c>
      <c r="E2353" s="47" t="s">
        <v>61</v>
      </c>
      <c r="F2353" s="48" t="n">
        <v>74386.02</v>
      </c>
      <c r="G2353" s="47" t="s">
        <v>57</v>
      </c>
      <c r="H2353" s="47" t="s">
        <v>46</v>
      </c>
      <c r="I2353" s="47" t="s">
        <v>148</v>
      </c>
      <c r="J2353" s="47" t="s">
        <v>28</v>
      </c>
      <c r="K2353" s="47" t="s">
        <v>34</v>
      </c>
    </row>
    <row r="2354" customFormat="false" ht="15" hidden="false" customHeight="false" outlineLevel="0" collapsed="false">
      <c r="A2354" s="0" t="s">
        <v>3485</v>
      </c>
      <c r="B2354" s="0" t="s">
        <v>540</v>
      </c>
      <c r="D2354" s="46" t="n">
        <v>46059</v>
      </c>
      <c r="E2354" s="47" t="s">
        <v>59</v>
      </c>
      <c r="F2354" s="48" t="n">
        <v>107158.2</v>
      </c>
      <c r="G2354" s="47" t="s">
        <v>57</v>
      </c>
      <c r="H2354" s="47" t="s">
        <v>39</v>
      </c>
      <c r="I2354" s="47" t="s">
        <v>145</v>
      </c>
      <c r="J2354" s="47" t="s">
        <v>28</v>
      </c>
      <c r="K2354" s="47" t="s">
        <v>33</v>
      </c>
    </row>
    <row r="2355" customFormat="false" ht="15" hidden="false" customHeight="false" outlineLevel="0" collapsed="false">
      <c r="A2355" s="0" t="s">
        <v>3486</v>
      </c>
      <c r="B2355" s="0" t="s">
        <v>1389</v>
      </c>
      <c r="D2355" s="46" t="n">
        <v>45693</v>
      </c>
      <c r="E2355" s="47" t="s">
        <v>58</v>
      </c>
      <c r="F2355" s="48" t="n">
        <v>130138.93</v>
      </c>
      <c r="G2355" s="47" t="s">
        <v>65</v>
      </c>
      <c r="H2355" s="47" t="s">
        <v>44</v>
      </c>
      <c r="I2355" s="47" t="s">
        <v>132</v>
      </c>
      <c r="J2355" s="47" t="s">
        <v>28</v>
      </c>
      <c r="K2355" s="47" t="s">
        <v>34</v>
      </c>
    </row>
    <row r="2356" customFormat="false" ht="15" hidden="false" customHeight="false" outlineLevel="0" collapsed="false">
      <c r="A2356" s="0" t="s">
        <v>3487</v>
      </c>
      <c r="B2356" s="0" t="s">
        <v>1243</v>
      </c>
      <c r="D2356" s="46" t="n">
        <v>45677</v>
      </c>
      <c r="E2356" s="47" t="s">
        <v>53</v>
      </c>
      <c r="F2356" s="48" t="n">
        <v>179599.31</v>
      </c>
      <c r="G2356" s="47" t="s">
        <v>66</v>
      </c>
      <c r="H2356" s="47" t="s">
        <v>44</v>
      </c>
      <c r="I2356" s="47" t="s">
        <v>226</v>
      </c>
      <c r="J2356" s="47" t="s">
        <v>28</v>
      </c>
      <c r="K2356" s="47" t="s">
        <v>33</v>
      </c>
    </row>
    <row r="2357" customFormat="false" ht="15" hidden="false" customHeight="false" outlineLevel="0" collapsed="false">
      <c r="A2357" s="0" t="s">
        <v>3488</v>
      </c>
      <c r="B2357" s="0" t="s">
        <v>491</v>
      </c>
      <c r="D2357" s="46" t="n">
        <v>46290</v>
      </c>
      <c r="E2357" s="47" t="s">
        <v>55</v>
      </c>
      <c r="F2357" s="48" t="n">
        <v>20536.45</v>
      </c>
      <c r="G2357" s="47" t="s">
        <v>53</v>
      </c>
      <c r="H2357" s="47" t="s">
        <v>47</v>
      </c>
      <c r="I2357" s="47" t="s">
        <v>108</v>
      </c>
      <c r="J2357" s="47" t="s">
        <v>28</v>
      </c>
      <c r="K2357" s="47" t="s">
        <v>33</v>
      </c>
    </row>
    <row r="2358" customFormat="false" ht="15" hidden="false" customHeight="false" outlineLevel="0" collapsed="false">
      <c r="A2358" s="0" t="s">
        <v>3489</v>
      </c>
      <c r="B2358" s="0" t="s">
        <v>3237</v>
      </c>
      <c r="D2358" s="46" t="n">
        <v>45973</v>
      </c>
      <c r="E2358" s="47" t="s">
        <v>53</v>
      </c>
      <c r="F2358" s="48" t="n">
        <v>115578.23</v>
      </c>
      <c r="G2358" s="47" t="s">
        <v>57</v>
      </c>
      <c r="H2358" s="47" t="s">
        <v>45</v>
      </c>
      <c r="I2358" s="47" t="s">
        <v>151</v>
      </c>
      <c r="J2358" s="47" t="s">
        <v>28</v>
      </c>
      <c r="K2358" s="47" t="s">
        <v>33</v>
      </c>
    </row>
    <row r="2359" customFormat="false" ht="15" hidden="false" customHeight="false" outlineLevel="0" collapsed="false">
      <c r="A2359" s="0" t="s">
        <v>3490</v>
      </c>
      <c r="B2359" s="0" t="s">
        <v>1211</v>
      </c>
      <c r="D2359" s="46" t="n">
        <v>45854</v>
      </c>
      <c r="E2359" s="47" t="s">
        <v>62</v>
      </c>
      <c r="F2359" s="48" t="n">
        <v>191800.78</v>
      </c>
      <c r="G2359" s="47" t="s">
        <v>66</v>
      </c>
      <c r="H2359" s="47" t="s">
        <v>40</v>
      </c>
      <c r="I2359" s="47" t="s">
        <v>89</v>
      </c>
      <c r="J2359" s="47" t="s">
        <v>29</v>
      </c>
      <c r="K2359" s="47" t="s">
        <v>34</v>
      </c>
    </row>
    <row r="2360" customFormat="false" ht="15" hidden="false" customHeight="false" outlineLevel="0" collapsed="false">
      <c r="A2360" s="0" t="s">
        <v>3491</v>
      </c>
      <c r="B2360" s="0" t="s">
        <v>2068</v>
      </c>
      <c r="D2360" s="46" t="n">
        <v>46056</v>
      </c>
      <c r="E2360" s="47" t="s">
        <v>58</v>
      </c>
      <c r="F2360" s="48" t="n">
        <v>40053.69</v>
      </c>
      <c r="G2360" s="47" t="s">
        <v>66</v>
      </c>
      <c r="H2360" s="47" t="s">
        <v>41</v>
      </c>
      <c r="I2360" s="47" t="s">
        <v>293</v>
      </c>
      <c r="J2360" s="47" t="s">
        <v>28</v>
      </c>
      <c r="K2360" s="47" t="s">
        <v>34</v>
      </c>
    </row>
    <row r="2361" customFormat="false" ht="15" hidden="false" customHeight="false" outlineLevel="0" collapsed="false">
      <c r="A2361" s="0" t="s">
        <v>3492</v>
      </c>
      <c r="B2361" s="0" t="s">
        <v>297</v>
      </c>
      <c r="C2361" s="0" t="s">
        <v>1331</v>
      </c>
      <c r="D2361" s="46" t="n">
        <v>46223</v>
      </c>
      <c r="E2361" s="47" t="s">
        <v>55</v>
      </c>
      <c r="F2361" s="48" t="n">
        <v>173606.49</v>
      </c>
      <c r="G2361" s="47" t="s">
        <v>65</v>
      </c>
      <c r="H2361" s="47" t="s">
        <v>39</v>
      </c>
      <c r="I2361" s="47" t="s">
        <v>145</v>
      </c>
      <c r="J2361" s="47" t="s">
        <v>28</v>
      </c>
      <c r="K2361" s="47" t="s">
        <v>33</v>
      </c>
    </row>
    <row r="2362" customFormat="false" ht="15" hidden="false" customHeight="false" outlineLevel="0" collapsed="false">
      <c r="A2362" s="0" t="s">
        <v>3493</v>
      </c>
      <c r="B2362" s="0" t="s">
        <v>983</v>
      </c>
      <c r="D2362" s="46" t="n">
        <v>45808</v>
      </c>
      <c r="E2362" s="47" t="s">
        <v>62</v>
      </c>
      <c r="F2362" s="48" t="n">
        <v>198479.03</v>
      </c>
      <c r="G2362" s="47" t="s">
        <v>65</v>
      </c>
      <c r="H2362" s="47" t="s">
        <v>47</v>
      </c>
      <c r="I2362" s="47" t="s">
        <v>108</v>
      </c>
      <c r="J2362" s="47" t="s">
        <v>28</v>
      </c>
      <c r="K2362" s="47" t="s">
        <v>33</v>
      </c>
    </row>
    <row r="2363" customFormat="false" ht="15" hidden="false" customHeight="false" outlineLevel="0" collapsed="false">
      <c r="A2363" s="0" t="s">
        <v>3494</v>
      </c>
      <c r="B2363" s="0" t="s">
        <v>1696</v>
      </c>
      <c r="C2363" s="0" t="s">
        <v>3495</v>
      </c>
      <c r="D2363" s="46" t="n">
        <v>45983</v>
      </c>
      <c r="E2363" s="47" t="s">
        <v>62</v>
      </c>
      <c r="F2363" s="48" t="n">
        <v>168521.71</v>
      </c>
      <c r="G2363" s="47" t="s">
        <v>57</v>
      </c>
      <c r="H2363" s="47" t="s">
        <v>45</v>
      </c>
      <c r="I2363" s="47" t="s">
        <v>95</v>
      </c>
      <c r="J2363" s="47" t="s">
        <v>28</v>
      </c>
      <c r="K2363" s="47" t="s">
        <v>33</v>
      </c>
    </row>
    <row r="2364" customFormat="false" ht="15" hidden="false" customHeight="false" outlineLevel="0" collapsed="false">
      <c r="A2364" s="0" t="s">
        <v>3496</v>
      </c>
      <c r="B2364" s="0" t="s">
        <v>3497</v>
      </c>
      <c r="D2364" s="46" t="n">
        <v>46004</v>
      </c>
      <c r="E2364" s="47" t="s">
        <v>53</v>
      </c>
      <c r="F2364" s="48" t="n">
        <v>50753.52</v>
      </c>
      <c r="G2364" s="47" t="s">
        <v>68</v>
      </c>
      <c r="H2364" s="47" t="s">
        <v>46</v>
      </c>
      <c r="I2364" s="47" t="s">
        <v>148</v>
      </c>
      <c r="J2364" s="47" t="s">
        <v>28</v>
      </c>
      <c r="K2364" s="47" t="s">
        <v>33</v>
      </c>
    </row>
    <row r="2365" customFormat="false" ht="15" hidden="false" customHeight="false" outlineLevel="0" collapsed="false">
      <c r="A2365" s="0" t="s">
        <v>3498</v>
      </c>
      <c r="B2365" s="0" t="s">
        <v>2832</v>
      </c>
      <c r="D2365" s="46" t="n">
        <v>45927</v>
      </c>
      <c r="E2365" s="47" t="s">
        <v>62</v>
      </c>
      <c r="F2365" s="48" t="n">
        <v>176776.72</v>
      </c>
      <c r="G2365" s="47" t="s">
        <v>65</v>
      </c>
      <c r="H2365" s="47" t="s">
        <v>46</v>
      </c>
      <c r="I2365" s="47" t="s">
        <v>242</v>
      </c>
      <c r="J2365" s="47" t="s">
        <v>28</v>
      </c>
      <c r="K2365" s="47" t="s">
        <v>34</v>
      </c>
    </row>
    <row r="2366" customFormat="false" ht="15" hidden="false" customHeight="false" outlineLevel="0" collapsed="false">
      <c r="A2366" s="0" t="s">
        <v>3499</v>
      </c>
      <c r="B2366" s="0" t="s">
        <v>1590</v>
      </c>
      <c r="C2366" s="0" t="s">
        <v>1591</v>
      </c>
      <c r="D2366" s="46" t="n">
        <v>46256</v>
      </c>
      <c r="E2366" s="47" t="s">
        <v>62</v>
      </c>
      <c r="F2366" s="48" t="n">
        <v>23436.17</v>
      </c>
      <c r="G2366" s="47" t="s">
        <v>53</v>
      </c>
      <c r="H2366" s="47" t="s">
        <v>44</v>
      </c>
      <c r="I2366" s="47" t="s">
        <v>132</v>
      </c>
      <c r="J2366" s="47" t="s">
        <v>28</v>
      </c>
      <c r="K2366" s="47" t="s">
        <v>34</v>
      </c>
    </row>
    <row r="2367" customFormat="false" ht="15" hidden="false" customHeight="false" outlineLevel="0" collapsed="false">
      <c r="A2367" s="0" t="s">
        <v>3500</v>
      </c>
      <c r="B2367" s="0" t="s">
        <v>1050</v>
      </c>
      <c r="D2367" s="46" t="n">
        <v>45908</v>
      </c>
      <c r="E2367" s="47" t="s">
        <v>61</v>
      </c>
      <c r="F2367" s="48" t="n">
        <v>149415.24</v>
      </c>
      <c r="G2367" s="47" t="s">
        <v>68</v>
      </c>
      <c r="H2367" s="47" t="s">
        <v>42</v>
      </c>
      <c r="I2367" s="47" t="s">
        <v>137</v>
      </c>
      <c r="J2367" s="47" t="s">
        <v>28</v>
      </c>
      <c r="K2367" s="47" t="s">
        <v>33</v>
      </c>
    </row>
    <row r="2368" customFormat="false" ht="15" hidden="false" customHeight="false" outlineLevel="0" collapsed="false">
      <c r="A2368" s="0" t="s">
        <v>3501</v>
      </c>
      <c r="B2368" s="0" t="s">
        <v>571</v>
      </c>
      <c r="C2368" s="0" t="s">
        <v>2651</v>
      </c>
      <c r="D2368" s="46" t="n">
        <v>45897</v>
      </c>
      <c r="E2368" s="47" t="s">
        <v>60</v>
      </c>
      <c r="F2368" s="48" t="n">
        <v>21739.43</v>
      </c>
      <c r="G2368" s="47" t="s">
        <v>57</v>
      </c>
      <c r="H2368" s="47" t="s">
        <v>43</v>
      </c>
      <c r="I2368" s="47" t="s">
        <v>201</v>
      </c>
      <c r="J2368" s="47" t="s">
        <v>28</v>
      </c>
      <c r="K2368" s="47" t="s">
        <v>34</v>
      </c>
    </row>
    <row r="2369" customFormat="false" ht="15" hidden="false" customHeight="false" outlineLevel="0" collapsed="false">
      <c r="A2369" s="0" t="s">
        <v>3502</v>
      </c>
      <c r="B2369" s="0" t="s">
        <v>1459</v>
      </c>
      <c r="D2369" s="46" t="n">
        <v>46249</v>
      </c>
      <c r="E2369" s="47" t="s">
        <v>60</v>
      </c>
      <c r="F2369" s="48" t="n">
        <v>110784.27</v>
      </c>
      <c r="G2369" s="47" t="s">
        <v>53</v>
      </c>
      <c r="H2369" s="47" t="s">
        <v>45</v>
      </c>
      <c r="I2369" s="47" t="s">
        <v>95</v>
      </c>
      <c r="J2369" s="47" t="s">
        <v>29</v>
      </c>
      <c r="K2369" s="47" t="s">
        <v>33</v>
      </c>
    </row>
    <row r="2370" customFormat="false" ht="15" hidden="false" customHeight="false" outlineLevel="0" collapsed="false">
      <c r="A2370" s="0" t="s">
        <v>3503</v>
      </c>
      <c r="B2370" s="0" t="s">
        <v>2099</v>
      </c>
      <c r="D2370" s="46" t="n">
        <v>45673</v>
      </c>
      <c r="E2370" s="47" t="s">
        <v>59</v>
      </c>
      <c r="F2370" s="48" t="n">
        <v>74056.83</v>
      </c>
      <c r="G2370" s="47" t="s">
        <v>66</v>
      </c>
      <c r="H2370" s="47" t="s">
        <v>44</v>
      </c>
      <c r="I2370" s="47" t="s">
        <v>132</v>
      </c>
      <c r="J2370" s="47" t="s">
        <v>28</v>
      </c>
      <c r="K2370" s="47" t="s">
        <v>33</v>
      </c>
    </row>
    <row r="2371" customFormat="false" ht="15" hidden="false" customHeight="false" outlineLevel="0" collapsed="false">
      <c r="A2371" s="0" t="s">
        <v>3504</v>
      </c>
      <c r="B2371" s="0" t="s">
        <v>277</v>
      </c>
      <c r="D2371" s="46" t="n">
        <v>45932</v>
      </c>
      <c r="E2371" s="47" t="s">
        <v>60</v>
      </c>
      <c r="F2371" s="48" t="n">
        <v>115553.14</v>
      </c>
      <c r="G2371" s="47" t="s">
        <v>57</v>
      </c>
      <c r="H2371" s="47" t="s">
        <v>47</v>
      </c>
      <c r="I2371" s="47" t="s">
        <v>166</v>
      </c>
      <c r="J2371" s="47" t="s">
        <v>28</v>
      </c>
      <c r="K2371" s="47" t="s">
        <v>33</v>
      </c>
    </row>
    <row r="2372" customFormat="false" ht="15" hidden="false" customHeight="false" outlineLevel="0" collapsed="false">
      <c r="A2372" s="0" t="s">
        <v>3505</v>
      </c>
      <c r="B2372" s="0" t="s">
        <v>1426</v>
      </c>
      <c r="D2372" s="46" t="n">
        <v>46023</v>
      </c>
      <c r="E2372" s="47" t="s">
        <v>53</v>
      </c>
      <c r="F2372" s="48" t="n">
        <v>19003.68</v>
      </c>
      <c r="G2372" s="47" t="s">
        <v>53</v>
      </c>
      <c r="H2372" s="47" t="s">
        <v>45</v>
      </c>
      <c r="I2372" s="47" t="s">
        <v>217</v>
      </c>
      <c r="J2372" s="47" t="s">
        <v>28</v>
      </c>
      <c r="K2372" s="47" t="s">
        <v>34</v>
      </c>
    </row>
    <row r="2373" customFormat="false" ht="15" hidden="false" customHeight="false" outlineLevel="0" collapsed="false">
      <c r="A2373" s="0" t="s">
        <v>3506</v>
      </c>
      <c r="B2373" s="0" t="s">
        <v>451</v>
      </c>
      <c r="D2373" s="46" t="n">
        <v>45886</v>
      </c>
      <c r="E2373" s="47" t="s">
        <v>60</v>
      </c>
      <c r="F2373" s="48" t="n">
        <v>173257.12</v>
      </c>
      <c r="G2373" s="47" t="s">
        <v>65</v>
      </c>
      <c r="H2373" s="47" t="s">
        <v>41</v>
      </c>
      <c r="I2373" s="47" t="s">
        <v>293</v>
      </c>
      <c r="J2373" s="47" t="s">
        <v>28</v>
      </c>
      <c r="K2373" s="47" t="s">
        <v>33</v>
      </c>
    </row>
    <row r="2374" customFormat="false" ht="15" hidden="false" customHeight="false" outlineLevel="0" collapsed="false">
      <c r="A2374" s="0" t="s">
        <v>3507</v>
      </c>
      <c r="B2374" s="0" t="s">
        <v>1134</v>
      </c>
      <c r="D2374" s="46" t="n">
        <v>46242</v>
      </c>
      <c r="E2374" s="47" t="s">
        <v>55</v>
      </c>
      <c r="F2374" s="48" t="n">
        <v>196931.91</v>
      </c>
      <c r="G2374" s="47" t="s">
        <v>66</v>
      </c>
      <c r="H2374" s="47" t="s">
        <v>48</v>
      </c>
      <c r="I2374" s="47" t="s">
        <v>114</v>
      </c>
      <c r="J2374" s="47" t="s">
        <v>28</v>
      </c>
      <c r="K2374" s="47" t="s">
        <v>33</v>
      </c>
    </row>
    <row r="2375" customFormat="false" ht="15" hidden="false" customHeight="false" outlineLevel="0" collapsed="false">
      <c r="A2375" s="0" t="s">
        <v>3508</v>
      </c>
      <c r="B2375" s="0" t="s">
        <v>1146</v>
      </c>
      <c r="D2375" s="46" t="n">
        <v>45840</v>
      </c>
      <c r="E2375" s="47" t="s">
        <v>59</v>
      </c>
      <c r="F2375" s="48" t="n">
        <v>114588.61</v>
      </c>
      <c r="G2375" s="47" t="s">
        <v>68</v>
      </c>
      <c r="H2375" s="47" t="s">
        <v>47</v>
      </c>
      <c r="I2375" s="47" t="s">
        <v>166</v>
      </c>
      <c r="J2375" s="47" t="s">
        <v>28</v>
      </c>
      <c r="K2375" s="47" t="s">
        <v>34</v>
      </c>
    </row>
    <row r="2376" customFormat="false" ht="15" hidden="false" customHeight="false" outlineLevel="0" collapsed="false">
      <c r="A2376" s="0" t="s">
        <v>3509</v>
      </c>
      <c r="B2376" s="0" t="s">
        <v>978</v>
      </c>
      <c r="D2376" s="46" t="n">
        <v>46049</v>
      </c>
      <c r="E2376" s="47" t="s">
        <v>58</v>
      </c>
      <c r="F2376" s="48" t="n">
        <v>131496.97</v>
      </c>
      <c r="G2376" s="47" t="s">
        <v>57</v>
      </c>
      <c r="H2376" s="47" t="s">
        <v>47</v>
      </c>
      <c r="I2376" s="47" t="s">
        <v>245</v>
      </c>
      <c r="J2376" s="47" t="s">
        <v>28</v>
      </c>
      <c r="K2376" s="47" t="s">
        <v>33</v>
      </c>
    </row>
    <row r="2377" customFormat="false" ht="15" hidden="false" customHeight="false" outlineLevel="0" collapsed="false">
      <c r="A2377" s="0" t="s">
        <v>3510</v>
      </c>
      <c r="B2377" s="0" t="s">
        <v>1081</v>
      </c>
      <c r="D2377" s="46" t="n">
        <v>46035</v>
      </c>
      <c r="E2377" s="47" t="s">
        <v>60</v>
      </c>
      <c r="F2377" s="48" t="n">
        <v>40972.8</v>
      </c>
      <c r="G2377" s="47" t="s">
        <v>57</v>
      </c>
      <c r="H2377" s="47" t="s">
        <v>47</v>
      </c>
      <c r="I2377" s="47" t="s">
        <v>245</v>
      </c>
      <c r="J2377" s="47" t="s">
        <v>28</v>
      </c>
      <c r="K2377" s="47" t="s">
        <v>33</v>
      </c>
    </row>
    <row r="2378" customFormat="false" ht="15" hidden="false" customHeight="false" outlineLevel="0" collapsed="false">
      <c r="A2378" s="0" t="s">
        <v>3511</v>
      </c>
      <c r="B2378" s="0" t="s">
        <v>555</v>
      </c>
      <c r="D2378" s="46" t="n">
        <v>46232</v>
      </c>
      <c r="E2378" s="47" t="s">
        <v>55</v>
      </c>
      <c r="F2378" s="48" t="n">
        <v>182170.69</v>
      </c>
      <c r="G2378" s="47" t="s">
        <v>57</v>
      </c>
      <c r="H2378" s="47" t="s">
        <v>40</v>
      </c>
      <c r="I2378" s="47" t="s">
        <v>89</v>
      </c>
      <c r="J2378" s="47" t="s">
        <v>28</v>
      </c>
      <c r="K2378" s="47" t="s">
        <v>33</v>
      </c>
    </row>
    <row r="2379" customFormat="false" ht="15" hidden="false" customHeight="false" outlineLevel="0" collapsed="false">
      <c r="A2379" s="0" t="s">
        <v>3512</v>
      </c>
      <c r="B2379" s="0" t="s">
        <v>3513</v>
      </c>
      <c r="D2379" s="46" t="n">
        <v>45965</v>
      </c>
      <c r="E2379" s="47" t="s">
        <v>58</v>
      </c>
      <c r="F2379" s="48" t="n">
        <v>131429.49</v>
      </c>
      <c r="G2379" s="47" t="s">
        <v>57</v>
      </c>
      <c r="H2379" s="47" t="s">
        <v>39</v>
      </c>
      <c r="I2379" s="47" t="s">
        <v>177</v>
      </c>
      <c r="J2379" s="47" t="s">
        <v>30</v>
      </c>
      <c r="K2379" s="47" t="s">
        <v>33</v>
      </c>
    </row>
    <row r="2380" customFormat="false" ht="15" hidden="false" customHeight="false" outlineLevel="0" collapsed="false">
      <c r="A2380" s="0" t="s">
        <v>3514</v>
      </c>
      <c r="B2380" s="0" t="s">
        <v>1440</v>
      </c>
      <c r="D2380" s="46" t="n">
        <v>45671</v>
      </c>
      <c r="E2380" s="47" t="s">
        <v>59</v>
      </c>
      <c r="F2380" s="48" t="n">
        <v>39194.69</v>
      </c>
      <c r="G2380" s="47" t="s">
        <v>65</v>
      </c>
      <c r="H2380" s="47" t="s">
        <v>45</v>
      </c>
      <c r="I2380" s="47" t="s">
        <v>217</v>
      </c>
      <c r="J2380" s="47" t="s">
        <v>30</v>
      </c>
      <c r="K2380" s="47" t="s">
        <v>34</v>
      </c>
    </row>
    <row r="2381" customFormat="false" ht="15" hidden="false" customHeight="false" outlineLevel="0" collapsed="false">
      <c r="A2381" s="0" t="s">
        <v>3515</v>
      </c>
      <c r="B2381" s="0" t="s">
        <v>91</v>
      </c>
      <c r="D2381" s="46" t="n">
        <v>46225</v>
      </c>
      <c r="E2381" s="47" t="s">
        <v>61</v>
      </c>
      <c r="F2381" s="48" t="n">
        <v>178990.61</v>
      </c>
      <c r="G2381" s="47" t="s">
        <v>57</v>
      </c>
      <c r="H2381" s="47" t="s">
        <v>41</v>
      </c>
      <c r="I2381" s="47" t="s">
        <v>86</v>
      </c>
      <c r="J2381" s="47" t="s">
        <v>28</v>
      </c>
      <c r="K2381" s="47" t="s">
        <v>33</v>
      </c>
    </row>
    <row r="2382" customFormat="false" ht="15" hidden="false" customHeight="false" outlineLevel="0" collapsed="false">
      <c r="A2382" s="0" t="s">
        <v>3516</v>
      </c>
      <c r="B2382" s="0" t="s">
        <v>1068</v>
      </c>
      <c r="D2382" s="46" t="n">
        <v>45809</v>
      </c>
      <c r="E2382" s="47" t="s">
        <v>60</v>
      </c>
      <c r="F2382" s="48" t="n">
        <v>125330.1</v>
      </c>
      <c r="G2382" s="47" t="s">
        <v>57</v>
      </c>
      <c r="H2382" s="47" t="s">
        <v>41</v>
      </c>
      <c r="I2382" s="47" t="s">
        <v>86</v>
      </c>
      <c r="J2382" s="47" t="s">
        <v>28</v>
      </c>
      <c r="K2382" s="47" t="s">
        <v>33</v>
      </c>
    </row>
    <row r="2383" customFormat="false" ht="15" hidden="false" customHeight="false" outlineLevel="0" collapsed="false">
      <c r="A2383" s="0" t="s">
        <v>3517</v>
      </c>
      <c r="B2383" s="0" t="s">
        <v>1745</v>
      </c>
      <c r="D2383" s="46" t="n">
        <v>45703</v>
      </c>
      <c r="E2383" s="47" t="s">
        <v>59</v>
      </c>
      <c r="F2383" s="48" t="n">
        <v>157011.88</v>
      </c>
      <c r="G2383" s="47" t="s">
        <v>68</v>
      </c>
      <c r="H2383" s="47" t="s">
        <v>39</v>
      </c>
      <c r="I2383" s="47" t="s">
        <v>177</v>
      </c>
      <c r="J2383" s="47" t="s">
        <v>28</v>
      </c>
      <c r="K2383" s="47" t="s">
        <v>33</v>
      </c>
    </row>
    <row r="2384" customFormat="false" ht="15" hidden="false" customHeight="false" outlineLevel="0" collapsed="false">
      <c r="A2384" s="0" t="s">
        <v>3518</v>
      </c>
      <c r="B2384" s="0" t="s">
        <v>209</v>
      </c>
      <c r="D2384" s="46" t="n">
        <v>46193</v>
      </c>
      <c r="E2384" s="47" t="s">
        <v>61</v>
      </c>
      <c r="F2384" s="48" t="n">
        <v>134099.29</v>
      </c>
      <c r="G2384" s="47" t="s">
        <v>57</v>
      </c>
      <c r="H2384" s="47" t="s">
        <v>40</v>
      </c>
      <c r="I2384" s="47" t="s">
        <v>89</v>
      </c>
      <c r="J2384" s="47" t="s">
        <v>28</v>
      </c>
      <c r="K2384" s="47" t="s">
        <v>33</v>
      </c>
    </row>
    <row r="2385" customFormat="false" ht="15" hidden="false" customHeight="false" outlineLevel="0" collapsed="false">
      <c r="A2385" s="0" t="s">
        <v>3519</v>
      </c>
      <c r="B2385" s="0" t="s">
        <v>2974</v>
      </c>
      <c r="C2385" s="0" t="s">
        <v>3520</v>
      </c>
      <c r="D2385" s="46" t="n">
        <v>46158</v>
      </c>
      <c r="E2385" s="47" t="s">
        <v>58</v>
      </c>
      <c r="F2385" s="48" t="n">
        <v>4321.76</v>
      </c>
      <c r="G2385" s="47" t="s">
        <v>65</v>
      </c>
      <c r="H2385" s="47" t="s">
        <v>43</v>
      </c>
      <c r="I2385" s="47" t="s">
        <v>102</v>
      </c>
      <c r="J2385" s="47" t="s">
        <v>28</v>
      </c>
      <c r="K2385" s="47" t="s">
        <v>34</v>
      </c>
    </row>
    <row r="2386" customFormat="false" ht="15" hidden="false" customHeight="false" outlineLevel="0" collapsed="false">
      <c r="A2386" s="0" t="s">
        <v>3521</v>
      </c>
      <c r="B2386" s="0" t="s">
        <v>2201</v>
      </c>
      <c r="D2386" s="46" t="n">
        <v>45855</v>
      </c>
      <c r="E2386" s="47" t="s">
        <v>59</v>
      </c>
      <c r="F2386" s="48" t="n">
        <v>92495.22</v>
      </c>
      <c r="G2386" s="47" t="s">
        <v>68</v>
      </c>
      <c r="H2386" s="47" t="s">
        <v>46</v>
      </c>
      <c r="I2386" s="47" t="s">
        <v>121</v>
      </c>
      <c r="J2386" s="47" t="s">
        <v>28</v>
      </c>
      <c r="K2386" s="47" t="s">
        <v>34</v>
      </c>
    </row>
    <row r="2387" customFormat="false" ht="15" hidden="false" customHeight="false" outlineLevel="0" collapsed="false">
      <c r="A2387" s="0" t="s">
        <v>3522</v>
      </c>
      <c r="B2387" s="0" t="s">
        <v>1236</v>
      </c>
      <c r="D2387" s="46" t="n">
        <v>46242</v>
      </c>
      <c r="E2387" s="47" t="s">
        <v>58</v>
      </c>
      <c r="F2387" s="48" t="n">
        <v>593.74</v>
      </c>
      <c r="G2387" s="47" t="s">
        <v>68</v>
      </c>
      <c r="H2387" s="47" t="s">
        <v>43</v>
      </c>
      <c r="I2387" s="47" t="s">
        <v>201</v>
      </c>
      <c r="J2387" s="47" t="s">
        <v>28</v>
      </c>
      <c r="K2387" s="47" t="s">
        <v>34</v>
      </c>
    </row>
    <row r="2388" customFormat="false" ht="15" hidden="false" customHeight="false" outlineLevel="0" collapsed="false">
      <c r="A2388" s="0" t="s">
        <v>3523</v>
      </c>
      <c r="B2388" s="0" t="s">
        <v>907</v>
      </c>
      <c r="D2388" s="46" t="n">
        <v>45811</v>
      </c>
      <c r="E2388" s="47" t="s">
        <v>58</v>
      </c>
      <c r="F2388" s="48" t="n">
        <v>82141.09</v>
      </c>
      <c r="G2388" s="47" t="s">
        <v>68</v>
      </c>
      <c r="H2388" s="47" t="s">
        <v>43</v>
      </c>
      <c r="I2388" s="47" t="s">
        <v>102</v>
      </c>
      <c r="J2388" s="47" t="s">
        <v>28</v>
      </c>
      <c r="K2388" s="47" t="s">
        <v>34</v>
      </c>
    </row>
    <row r="2389" customFormat="false" ht="15" hidden="false" customHeight="false" outlineLevel="0" collapsed="false">
      <c r="A2389" s="0" t="s">
        <v>3524</v>
      </c>
      <c r="B2389" s="0" t="s">
        <v>1256</v>
      </c>
      <c r="D2389" s="46" t="n">
        <v>46144</v>
      </c>
      <c r="E2389" s="47" t="s">
        <v>59</v>
      </c>
      <c r="F2389" s="48" t="n">
        <v>45176.94</v>
      </c>
      <c r="G2389" s="47" t="s">
        <v>53</v>
      </c>
      <c r="H2389" s="47" t="s">
        <v>48</v>
      </c>
      <c r="I2389" s="47" t="s">
        <v>111</v>
      </c>
      <c r="J2389" s="47" t="s">
        <v>28</v>
      </c>
      <c r="K2389" s="47" t="s">
        <v>33</v>
      </c>
    </row>
    <row r="2390" customFormat="false" ht="15" hidden="false" customHeight="false" outlineLevel="0" collapsed="false">
      <c r="A2390" s="0" t="s">
        <v>3525</v>
      </c>
      <c r="B2390" s="0" t="s">
        <v>395</v>
      </c>
      <c r="D2390" s="46" t="n">
        <v>46265</v>
      </c>
      <c r="E2390" s="47" t="s">
        <v>59</v>
      </c>
      <c r="F2390" s="48" t="n">
        <v>41330.34</v>
      </c>
      <c r="G2390" s="47" t="s">
        <v>65</v>
      </c>
      <c r="H2390" s="47" t="s">
        <v>43</v>
      </c>
      <c r="I2390" s="47" t="s">
        <v>201</v>
      </c>
      <c r="J2390" s="47" t="s">
        <v>28</v>
      </c>
      <c r="K2390" s="47" t="s">
        <v>33</v>
      </c>
    </row>
    <row r="2391" customFormat="false" ht="15" hidden="false" customHeight="false" outlineLevel="0" collapsed="false">
      <c r="A2391" s="0" t="s">
        <v>3526</v>
      </c>
      <c r="B2391" s="0" t="s">
        <v>255</v>
      </c>
      <c r="D2391" s="46" t="n">
        <v>45984</v>
      </c>
      <c r="E2391" s="47" t="s">
        <v>58</v>
      </c>
      <c r="F2391" s="48" t="n">
        <v>118534.88</v>
      </c>
      <c r="G2391" s="47" t="s">
        <v>53</v>
      </c>
      <c r="H2391" s="47" t="s">
        <v>47</v>
      </c>
      <c r="I2391" s="47" t="s">
        <v>166</v>
      </c>
      <c r="J2391" s="47" t="s">
        <v>28</v>
      </c>
      <c r="K2391" s="47" t="s">
        <v>33</v>
      </c>
    </row>
    <row r="2392" customFormat="false" ht="15" hidden="false" customHeight="false" outlineLevel="0" collapsed="false">
      <c r="A2392" s="0" t="s">
        <v>3527</v>
      </c>
      <c r="B2392" s="0" t="s">
        <v>2803</v>
      </c>
      <c r="C2392" s="0" t="s">
        <v>3528</v>
      </c>
      <c r="D2392" s="46" t="n">
        <v>45852</v>
      </c>
      <c r="E2392" s="47" t="s">
        <v>58</v>
      </c>
      <c r="F2392" s="48" t="n">
        <v>127085.67</v>
      </c>
      <c r="G2392" s="47" t="s">
        <v>68</v>
      </c>
      <c r="H2392" s="47" t="s">
        <v>48</v>
      </c>
      <c r="I2392" s="47" t="s">
        <v>114</v>
      </c>
      <c r="J2392" s="47" t="s">
        <v>28</v>
      </c>
      <c r="K2392" s="47" t="s">
        <v>33</v>
      </c>
    </row>
    <row r="2393" customFormat="false" ht="15" hidden="false" customHeight="false" outlineLevel="0" collapsed="false">
      <c r="A2393" s="0" t="s">
        <v>3529</v>
      </c>
      <c r="B2393" s="0" t="s">
        <v>468</v>
      </c>
      <c r="D2393" s="46" t="n">
        <v>45703</v>
      </c>
      <c r="E2393" s="47" t="s">
        <v>55</v>
      </c>
      <c r="F2393" s="48" t="n">
        <v>167926.69</v>
      </c>
      <c r="G2393" s="47" t="s">
        <v>57</v>
      </c>
      <c r="H2393" s="47" t="s">
        <v>40</v>
      </c>
      <c r="I2393" s="47" t="s">
        <v>83</v>
      </c>
      <c r="J2393" s="47" t="s">
        <v>28</v>
      </c>
      <c r="K2393" s="47" t="s">
        <v>33</v>
      </c>
    </row>
    <row r="2394" customFormat="false" ht="15" hidden="false" customHeight="false" outlineLevel="0" collapsed="false">
      <c r="A2394" s="0" t="s">
        <v>3530</v>
      </c>
      <c r="B2394" s="0" t="s">
        <v>2586</v>
      </c>
      <c r="D2394" s="46" t="n">
        <v>46108</v>
      </c>
      <c r="E2394" s="47" t="s">
        <v>62</v>
      </c>
      <c r="F2394" s="48" t="n">
        <v>59089.75</v>
      </c>
      <c r="G2394" s="47" t="s">
        <v>57</v>
      </c>
      <c r="H2394" s="47" t="s">
        <v>44</v>
      </c>
      <c r="I2394" s="47" t="s">
        <v>226</v>
      </c>
      <c r="J2394" s="47" t="s">
        <v>28</v>
      </c>
      <c r="K2394" s="47" t="s">
        <v>33</v>
      </c>
    </row>
    <row r="2395" customFormat="false" ht="15" hidden="false" customHeight="false" outlineLevel="0" collapsed="false">
      <c r="A2395" s="0" t="s">
        <v>3531</v>
      </c>
      <c r="B2395" s="0" t="s">
        <v>2962</v>
      </c>
      <c r="D2395" s="46" t="n">
        <v>45954</v>
      </c>
      <c r="E2395" s="47" t="s">
        <v>58</v>
      </c>
      <c r="F2395" s="48" t="n">
        <v>51817.44</v>
      </c>
      <c r="G2395" s="47" t="s">
        <v>57</v>
      </c>
      <c r="H2395" s="47" t="s">
        <v>47</v>
      </c>
      <c r="I2395" s="47" t="s">
        <v>108</v>
      </c>
      <c r="J2395" s="47" t="s">
        <v>28</v>
      </c>
      <c r="K2395" s="47" t="s">
        <v>33</v>
      </c>
    </row>
    <row r="2396" customFormat="false" ht="15" hidden="false" customHeight="false" outlineLevel="0" collapsed="false">
      <c r="A2396" s="0" t="s">
        <v>3532</v>
      </c>
      <c r="B2396" s="0" t="s">
        <v>174</v>
      </c>
      <c r="D2396" s="46" t="n">
        <v>46005</v>
      </c>
      <c r="E2396" s="47" t="s">
        <v>62</v>
      </c>
      <c r="F2396" s="48" t="n">
        <v>172894.36</v>
      </c>
      <c r="G2396" s="47" t="s">
        <v>53</v>
      </c>
      <c r="H2396" s="47" t="s">
        <v>46</v>
      </c>
      <c r="I2396" s="47" t="s">
        <v>148</v>
      </c>
      <c r="J2396" s="47" t="s">
        <v>28</v>
      </c>
      <c r="K2396" s="47" t="s">
        <v>33</v>
      </c>
    </row>
    <row r="2397" customFormat="false" ht="15" hidden="false" customHeight="false" outlineLevel="0" collapsed="false">
      <c r="A2397" s="0" t="s">
        <v>3533</v>
      </c>
      <c r="B2397" s="0" t="s">
        <v>247</v>
      </c>
      <c r="D2397" s="46" t="n">
        <v>45734</v>
      </c>
      <c r="E2397" s="47" t="s">
        <v>53</v>
      </c>
      <c r="F2397" s="48" t="n">
        <v>172588.92</v>
      </c>
      <c r="G2397" s="47" t="s">
        <v>53</v>
      </c>
      <c r="H2397" s="47" t="s">
        <v>44</v>
      </c>
      <c r="I2397" s="47" t="s">
        <v>80</v>
      </c>
      <c r="J2397" s="47" t="s">
        <v>28</v>
      </c>
      <c r="K2397" s="47" t="s">
        <v>34</v>
      </c>
    </row>
    <row r="2398" customFormat="false" ht="15" hidden="false" customHeight="false" outlineLevel="0" collapsed="false">
      <c r="A2398" s="0" t="s">
        <v>3534</v>
      </c>
      <c r="B2398" s="0" t="s">
        <v>3535</v>
      </c>
      <c r="D2398" s="46" t="n">
        <v>46182</v>
      </c>
      <c r="E2398" s="47" t="s">
        <v>58</v>
      </c>
      <c r="F2398" s="48" t="n">
        <v>69313.45</v>
      </c>
      <c r="G2398" s="47" t="s">
        <v>53</v>
      </c>
      <c r="H2398" s="47" t="s">
        <v>39</v>
      </c>
      <c r="I2398" s="47" t="s">
        <v>145</v>
      </c>
      <c r="J2398" s="47" t="s">
        <v>28</v>
      </c>
      <c r="K2398" s="47" t="s">
        <v>33</v>
      </c>
    </row>
    <row r="2399" customFormat="false" ht="15" hidden="false" customHeight="false" outlineLevel="0" collapsed="false">
      <c r="A2399" s="0" t="s">
        <v>3536</v>
      </c>
      <c r="B2399" s="0" t="s">
        <v>2592</v>
      </c>
      <c r="D2399" s="46" t="n">
        <v>45772</v>
      </c>
      <c r="E2399" s="47" t="s">
        <v>58</v>
      </c>
      <c r="F2399" s="48" t="n">
        <v>19444.68</v>
      </c>
      <c r="G2399" s="47" t="s">
        <v>66</v>
      </c>
      <c r="H2399" s="47" t="s">
        <v>44</v>
      </c>
      <c r="I2399" s="47" t="s">
        <v>226</v>
      </c>
      <c r="J2399" s="47" t="s">
        <v>28</v>
      </c>
      <c r="K2399" s="47" t="s">
        <v>33</v>
      </c>
    </row>
    <row r="2400" customFormat="false" ht="15" hidden="false" customHeight="false" outlineLevel="0" collapsed="false">
      <c r="A2400" s="0" t="s">
        <v>3537</v>
      </c>
      <c r="B2400" s="0" t="s">
        <v>1967</v>
      </c>
      <c r="D2400" s="46" t="n">
        <v>46150</v>
      </c>
      <c r="E2400" s="47" t="s">
        <v>60</v>
      </c>
      <c r="F2400" s="48" t="n">
        <v>103415.07</v>
      </c>
      <c r="G2400" s="47" t="s">
        <v>65</v>
      </c>
      <c r="H2400" s="47" t="s">
        <v>47</v>
      </c>
      <c r="I2400" s="47" t="s">
        <v>245</v>
      </c>
      <c r="J2400" s="47" t="s">
        <v>28</v>
      </c>
      <c r="K2400" s="47" t="s">
        <v>33</v>
      </c>
    </row>
    <row r="2401" customFormat="false" ht="15" hidden="false" customHeight="false" outlineLevel="0" collapsed="false">
      <c r="A2401" s="0" t="s">
        <v>3538</v>
      </c>
      <c r="B2401" s="0" t="s">
        <v>91</v>
      </c>
      <c r="D2401" s="46" t="n">
        <v>46238</v>
      </c>
      <c r="E2401" s="47" t="s">
        <v>58</v>
      </c>
      <c r="F2401" s="48" t="n">
        <v>84168.56</v>
      </c>
      <c r="G2401" s="47" t="s">
        <v>53</v>
      </c>
      <c r="H2401" s="47" t="s">
        <v>41</v>
      </c>
      <c r="I2401" s="47" t="s">
        <v>86</v>
      </c>
      <c r="J2401" s="47" t="s">
        <v>28</v>
      </c>
      <c r="K2401" s="47" t="s">
        <v>34</v>
      </c>
    </row>
    <row r="2402" customFormat="false" ht="15" hidden="false" customHeight="false" outlineLevel="0" collapsed="false">
      <c r="A2402" s="0" t="s">
        <v>3539</v>
      </c>
      <c r="B2402" s="0" t="s">
        <v>1986</v>
      </c>
      <c r="D2402" s="46" t="n">
        <v>45845</v>
      </c>
      <c r="E2402" s="47" t="s">
        <v>59</v>
      </c>
      <c r="F2402" s="48" t="n">
        <v>39868.22</v>
      </c>
      <c r="G2402" s="47" t="s">
        <v>57</v>
      </c>
      <c r="H2402" s="47" t="s">
        <v>48</v>
      </c>
      <c r="I2402" s="47" t="s">
        <v>111</v>
      </c>
      <c r="J2402" s="47" t="s">
        <v>28</v>
      </c>
      <c r="K2402" s="47" t="s">
        <v>33</v>
      </c>
    </row>
    <row r="2403" customFormat="false" ht="15" hidden="false" customHeight="false" outlineLevel="0" collapsed="false">
      <c r="A2403" s="0" t="s">
        <v>3540</v>
      </c>
      <c r="B2403" s="0" t="s">
        <v>419</v>
      </c>
      <c r="D2403" s="46" t="n">
        <v>45974</v>
      </c>
      <c r="E2403" s="47" t="s">
        <v>55</v>
      </c>
      <c r="F2403" s="48" t="n">
        <v>6136.22</v>
      </c>
      <c r="G2403" s="47" t="s">
        <v>65</v>
      </c>
      <c r="H2403" s="47" t="s">
        <v>46</v>
      </c>
      <c r="I2403" s="47" t="s">
        <v>121</v>
      </c>
      <c r="J2403" s="47" t="s">
        <v>28</v>
      </c>
      <c r="K2403" s="47" t="s">
        <v>34</v>
      </c>
    </row>
    <row r="2404" customFormat="false" ht="15" hidden="false" customHeight="false" outlineLevel="0" collapsed="false">
      <c r="A2404" s="0" t="s">
        <v>3541</v>
      </c>
      <c r="B2404" s="0" t="s">
        <v>2118</v>
      </c>
      <c r="D2404" s="46" t="n">
        <v>45949</v>
      </c>
      <c r="E2404" s="47" t="s">
        <v>60</v>
      </c>
      <c r="F2404" s="48" t="n">
        <v>196310.61</v>
      </c>
      <c r="G2404" s="47" t="s">
        <v>53</v>
      </c>
      <c r="H2404" s="47" t="s">
        <v>47</v>
      </c>
      <c r="I2404" s="47" t="s">
        <v>166</v>
      </c>
      <c r="J2404" s="47" t="s">
        <v>28</v>
      </c>
      <c r="K2404" s="47" t="s">
        <v>33</v>
      </c>
    </row>
    <row r="2405" customFormat="false" ht="15" hidden="false" customHeight="false" outlineLevel="0" collapsed="false">
      <c r="A2405" s="0" t="s">
        <v>3542</v>
      </c>
      <c r="B2405" s="0" t="s">
        <v>3358</v>
      </c>
      <c r="D2405" s="46" t="n">
        <v>46047</v>
      </c>
      <c r="E2405" s="47" t="s">
        <v>61</v>
      </c>
      <c r="F2405" s="48" t="n">
        <v>140298.81</v>
      </c>
      <c r="G2405" s="47" t="s">
        <v>66</v>
      </c>
      <c r="H2405" s="47" t="s">
        <v>47</v>
      </c>
      <c r="I2405" s="47" t="s">
        <v>166</v>
      </c>
      <c r="J2405" s="47" t="s">
        <v>28</v>
      </c>
      <c r="K2405" s="47" t="s">
        <v>34</v>
      </c>
    </row>
    <row r="2406" customFormat="false" ht="15" hidden="false" customHeight="false" outlineLevel="0" collapsed="false">
      <c r="A2406" s="0" t="s">
        <v>3543</v>
      </c>
      <c r="B2406" s="0" t="s">
        <v>1459</v>
      </c>
      <c r="D2406" s="46" t="n">
        <v>45799</v>
      </c>
      <c r="E2406" s="47" t="s">
        <v>62</v>
      </c>
      <c r="F2406" s="48" t="n">
        <v>27314.5</v>
      </c>
      <c r="G2406" s="47" t="s">
        <v>68</v>
      </c>
      <c r="H2406" s="47" t="s">
        <v>45</v>
      </c>
      <c r="I2406" s="47" t="s">
        <v>95</v>
      </c>
      <c r="J2406" s="47" t="s">
        <v>28</v>
      </c>
      <c r="K2406" s="47" t="s">
        <v>34</v>
      </c>
    </row>
    <row r="2407" customFormat="false" ht="15" hidden="false" customHeight="false" outlineLevel="0" collapsed="false">
      <c r="A2407" s="0" t="s">
        <v>3544</v>
      </c>
      <c r="B2407" s="0" t="s">
        <v>2827</v>
      </c>
      <c r="D2407" s="46" t="n">
        <v>46160</v>
      </c>
      <c r="E2407" s="47" t="s">
        <v>59</v>
      </c>
      <c r="F2407" s="48" t="n">
        <v>168528.41</v>
      </c>
      <c r="G2407" s="47" t="s">
        <v>65</v>
      </c>
      <c r="H2407" s="47" t="s">
        <v>46</v>
      </c>
      <c r="I2407" s="47" t="s">
        <v>121</v>
      </c>
      <c r="J2407" s="47" t="s">
        <v>28</v>
      </c>
      <c r="K2407" s="47" t="s">
        <v>33</v>
      </c>
    </row>
    <row r="2408" customFormat="false" ht="15" hidden="false" customHeight="false" outlineLevel="0" collapsed="false">
      <c r="A2408" s="0" t="s">
        <v>3545</v>
      </c>
      <c r="B2408" s="0" t="s">
        <v>1264</v>
      </c>
      <c r="D2408" s="46" t="n">
        <v>46129</v>
      </c>
      <c r="E2408" s="47" t="s">
        <v>60</v>
      </c>
      <c r="F2408" s="48" t="n">
        <v>71200.42</v>
      </c>
      <c r="G2408" s="47" t="s">
        <v>53</v>
      </c>
      <c r="H2408" s="47" t="s">
        <v>43</v>
      </c>
      <c r="I2408" s="47" t="s">
        <v>117</v>
      </c>
      <c r="J2408" s="47" t="s">
        <v>28</v>
      </c>
      <c r="K2408" s="47" t="s">
        <v>34</v>
      </c>
    </row>
    <row r="2409" customFormat="false" ht="15" hidden="false" customHeight="false" outlineLevel="0" collapsed="false">
      <c r="A2409" s="0" t="s">
        <v>3546</v>
      </c>
      <c r="B2409" s="0" t="s">
        <v>1927</v>
      </c>
      <c r="C2409" s="0" t="s">
        <v>3547</v>
      </c>
      <c r="D2409" s="46" t="n">
        <v>46055</v>
      </c>
      <c r="E2409" s="47" t="s">
        <v>53</v>
      </c>
      <c r="F2409" s="48" t="n">
        <v>158102.96</v>
      </c>
      <c r="G2409" s="47" t="s">
        <v>57</v>
      </c>
      <c r="H2409" s="47" t="s">
        <v>47</v>
      </c>
      <c r="I2409" s="47" t="s">
        <v>108</v>
      </c>
      <c r="J2409" s="47" t="s">
        <v>28</v>
      </c>
      <c r="K2409" s="47" t="s">
        <v>33</v>
      </c>
    </row>
    <row r="2410" customFormat="false" ht="15" hidden="false" customHeight="false" outlineLevel="0" collapsed="false">
      <c r="A2410" s="0" t="s">
        <v>3548</v>
      </c>
      <c r="B2410" s="0" t="s">
        <v>1952</v>
      </c>
      <c r="D2410" s="46" t="n">
        <v>46285</v>
      </c>
      <c r="E2410" s="47" t="s">
        <v>58</v>
      </c>
      <c r="F2410" s="48" t="n">
        <v>80392.89</v>
      </c>
      <c r="G2410" s="47" t="s">
        <v>66</v>
      </c>
      <c r="H2410" s="47" t="s">
        <v>48</v>
      </c>
      <c r="I2410" s="47" t="s">
        <v>111</v>
      </c>
      <c r="J2410" s="47" t="s">
        <v>28</v>
      </c>
      <c r="K2410" s="47" t="s">
        <v>34</v>
      </c>
    </row>
    <row r="2411" customFormat="false" ht="15" hidden="false" customHeight="false" outlineLevel="0" collapsed="false">
      <c r="A2411" s="0" t="s">
        <v>3549</v>
      </c>
      <c r="B2411" s="0" t="s">
        <v>944</v>
      </c>
      <c r="D2411" s="46" t="n">
        <v>45730</v>
      </c>
      <c r="E2411" s="47" t="s">
        <v>55</v>
      </c>
      <c r="F2411" s="48" t="n">
        <v>146181.73</v>
      </c>
      <c r="G2411" s="47" t="s">
        <v>53</v>
      </c>
      <c r="H2411" s="47" t="s">
        <v>45</v>
      </c>
      <c r="I2411" s="47" t="s">
        <v>217</v>
      </c>
      <c r="J2411" s="47" t="s">
        <v>28</v>
      </c>
      <c r="K2411" s="47" t="s">
        <v>34</v>
      </c>
    </row>
    <row r="2412" customFormat="false" ht="15" hidden="false" customHeight="false" outlineLevel="0" collapsed="false">
      <c r="A2412" s="0" t="s">
        <v>3550</v>
      </c>
      <c r="B2412" s="0" t="s">
        <v>195</v>
      </c>
      <c r="D2412" s="46" t="n">
        <v>46245</v>
      </c>
      <c r="E2412" s="47" t="s">
        <v>61</v>
      </c>
      <c r="F2412" s="48" t="n">
        <v>193465.78</v>
      </c>
      <c r="G2412" s="47" t="s">
        <v>68</v>
      </c>
      <c r="H2412" s="47" t="s">
        <v>39</v>
      </c>
      <c r="I2412" s="47" t="s">
        <v>145</v>
      </c>
      <c r="J2412" s="47" t="s">
        <v>28</v>
      </c>
      <c r="K2412" s="47" t="s">
        <v>34</v>
      </c>
    </row>
    <row r="2413" customFormat="false" ht="15" hidden="false" customHeight="false" outlineLevel="0" collapsed="false">
      <c r="A2413" s="0" t="s">
        <v>3551</v>
      </c>
      <c r="B2413" s="0" t="s">
        <v>1575</v>
      </c>
      <c r="D2413" s="46" t="n">
        <v>45914</v>
      </c>
      <c r="E2413" s="47" t="s">
        <v>55</v>
      </c>
      <c r="F2413" s="48" t="n">
        <v>93635.97</v>
      </c>
      <c r="G2413" s="47" t="s">
        <v>65</v>
      </c>
      <c r="H2413" s="47" t="s">
        <v>41</v>
      </c>
      <c r="I2413" s="47" t="s">
        <v>293</v>
      </c>
      <c r="J2413" s="47" t="s">
        <v>28</v>
      </c>
      <c r="K2413" s="47" t="s">
        <v>34</v>
      </c>
    </row>
    <row r="2414" customFormat="false" ht="15" hidden="false" customHeight="false" outlineLevel="0" collapsed="false">
      <c r="A2414" s="0" t="s">
        <v>3552</v>
      </c>
      <c r="B2414" s="0" t="s">
        <v>463</v>
      </c>
      <c r="C2414" s="0" t="s">
        <v>464</v>
      </c>
      <c r="D2414" s="46" t="n">
        <v>45962</v>
      </c>
      <c r="E2414" s="47" t="s">
        <v>60</v>
      </c>
      <c r="F2414" s="48" t="n">
        <v>99464.02</v>
      </c>
      <c r="G2414" s="47" t="s">
        <v>66</v>
      </c>
      <c r="H2414" s="47" t="s">
        <v>40</v>
      </c>
      <c r="I2414" s="47" t="s">
        <v>83</v>
      </c>
      <c r="J2414" s="47" t="s">
        <v>29</v>
      </c>
      <c r="K2414" s="47" t="s">
        <v>33</v>
      </c>
    </row>
    <row r="2415" customFormat="false" ht="15" hidden="false" customHeight="false" outlineLevel="0" collapsed="false">
      <c r="A2415" s="0" t="s">
        <v>3553</v>
      </c>
      <c r="B2415" s="0" t="s">
        <v>1083</v>
      </c>
      <c r="D2415" s="46" t="n">
        <v>45809</v>
      </c>
      <c r="E2415" s="47" t="s">
        <v>62</v>
      </c>
      <c r="F2415" s="48" t="n">
        <v>67273.52</v>
      </c>
      <c r="G2415" s="47" t="s">
        <v>57</v>
      </c>
      <c r="H2415" s="47" t="s">
        <v>46</v>
      </c>
      <c r="I2415" s="47" t="s">
        <v>148</v>
      </c>
      <c r="J2415" s="47" t="s">
        <v>28</v>
      </c>
      <c r="K2415" s="47" t="s">
        <v>34</v>
      </c>
    </row>
    <row r="2416" customFormat="false" ht="15" hidden="false" customHeight="false" outlineLevel="0" collapsed="false">
      <c r="A2416" s="0" t="s">
        <v>3554</v>
      </c>
      <c r="B2416" s="0" t="s">
        <v>147</v>
      </c>
      <c r="D2416" s="46" t="n">
        <v>46272</v>
      </c>
      <c r="E2416" s="47" t="s">
        <v>60</v>
      </c>
      <c r="F2416" s="48" t="n">
        <v>18735.02</v>
      </c>
      <c r="G2416" s="47" t="s">
        <v>68</v>
      </c>
      <c r="H2416" s="47" t="s">
        <v>46</v>
      </c>
      <c r="I2416" s="47" t="s">
        <v>148</v>
      </c>
      <c r="J2416" s="47" t="s">
        <v>28</v>
      </c>
      <c r="K2416" s="47" t="s">
        <v>34</v>
      </c>
    </row>
    <row r="2417" customFormat="false" ht="15" hidden="false" customHeight="false" outlineLevel="0" collapsed="false">
      <c r="A2417" s="0" t="s">
        <v>3555</v>
      </c>
      <c r="B2417" s="0" t="s">
        <v>1083</v>
      </c>
      <c r="D2417" s="46" t="n">
        <v>45915</v>
      </c>
      <c r="E2417" s="47" t="s">
        <v>55</v>
      </c>
      <c r="F2417" s="48" t="n">
        <v>87735.04</v>
      </c>
      <c r="G2417" s="47" t="s">
        <v>65</v>
      </c>
      <c r="H2417" s="47" t="s">
        <v>46</v>
      </c>
      <c r="I2417" s="47" t="s">
        <v>148</v>
      </c>
      <c r="J2417" s="47" t="s">
        <v>28</v>
      </c>
      <c r="K2417" s="47" t="s">
        <v>34</v>
      </c>
    </row>
    <row r="2418" customFormat="false" ht="15" hidden="false" customHeight="false" outlineLevel="0" collapsed="false">
      <c r="A2418" s="0" t="s">
        <v>3556</v>
      </c>
      <c r="B2418" s="0" t="s">
        <v>658</v>
      </c>
      <c r="D2418" s="46" t="n">
        <v>45992</v>
      </c>
      <c r="E2418" s="47" t="s">
        <v>59</v>
      </c>
      <c r="F2418" s="48" t="n">
        <v>177065.64</v>
      </c>
      <c r="G2418" s="47" t="s">
        <v>65</v>
      </c>
      <c r="H2418" s="47" t="s">
        <v>45</v>
      </c>
      <c r="I2418" s="47" t="s">
        <v>95</v>
      </c>
      <c r="J2418" s="47" t="s">
        <v>28</v>
      </c>
      <c r="K2418" s="47" t="s">
        <v>34</v>
      </c>
    </row>
    <row r="2419" customFormat="false" ht="15" hidden="false" customHeight="false" outlineLevel="0" collapsed="false">
      <c r="A2419" s="0" t="s">
        <v>3557</v>
      </c>
      <c r="B2419" s="0" t="s">
        <v>1387</v>
      </c>
      <c r="D2419" s="46" t="n">
        <v>45851</v>
      </c>
      <c r="E2419" s="47" t="s">
        <v>55</v>
      </c>
      <c r="F2419" s="48" t="n">
        <v>139997.47</v>
      </c>
      <c r="G2419" s="47" t="s">
        <v>68</v>
      </c>
      <c r="H2419" s="47" t="s">
        <v>45</v>
      </c>
      <c r="I2419" s="47" t="s">
        <v>217</v>
      </c>
      <c r="J2419" s="47" t="s">
        <v>28</v>
      </c>
      <c r="K2419" s="47" t="s">
        <v>34</v>
      </c>
    </row>
    <row r="2420" customFormat="false" ht="15" hidden="false" customHeight="false" outlineLevel="0" collapsed="false">
      <c r="A2420" s="0" t="s">
        <v>3558</v>
      </c>
      <c r="B2420" s="0" t="s">
        <v>552</v>
      </c>
      <c r="D2420" s="46" t="n">
        <v>45687</v>
      </c>
      <c r="E2420" s="47" t="s">
        <v>61</v>
      </c>
      <c r="F2420" s="48" t="n">
        <v>135239.43</v>
      </c>
      <c r="G2420" s="47" t="s">
        <v>57</v>
      </c>
      <c r="H2420" s="47" t="s">
        <v>46</v>
      </c>
      <c r="I2420" s="47" t="s">
        <v>121</v>
      </c>
      <c r="J2420" s="47" t="s">
        <v>28</v>
      </c>
      <c r="K2420" s="47" t="s">
        <v>33</v>
      </c>
    </row>
    <row r="2421" customFormat="false" ht="15" hidden="false" customHeight="false" outlineLevel="0" collapsed="false">
      <c r="A2421" s="0" t="s">
        <v>3559</v>
      </c>
      <c r="B2421" s="0" t="s">
        <v>879</v>
      </c>
      <c r="D2421" s="46" t="n">
        <v>45682</v>
      </c>
      <c r="E2421" s="47" t="s">
        <v>61</v>
      </c>
      <c r="F2421" s="48" t="n">
        <v>111728.05</v>
      </c>
      <c r="G2421" s="47" t="s">
        <v>57</v>
      </c>
      <c r="H2421" s="47" t="s">
        <v>48</v>
      </c>
      <c r="I2421" s="47" t="s">
        <v>114</v>
      </c>
      <c r="J2421" s="47" t="s">
        <v>28</v>
      </c>
      <c r="K2421" s="47" t="s">
        <v>33</v>
      </c>
    </row>
    <row r="2422" customFormat="false" ht="15" hidden="false" customHeight="false" outlineLevel="0" collapsed="false">
      <c r="A2422" s="0" t="s">
        <v>3560</v>
      </c>
      <c r="B2422" s="0" t="s">
        <v>2803</v>
      </c>
      <c r="D2422" s="46" t="n">
        <v>45959</v>
      </c>
      <c r="E2422" s="47" t="s">
        <v>58</v>
      </c>
      <c r="F2422" s="48" t="n">
        <v>199015.75</v>
      </c>
      <c r="G2422" s="47" t="s">
        <v>57</v>
      </c>
      <c r="H2422" s="47" t="s">
        <v>48</v>
      </c>
      <c r="I2422" s="47" t="s">
        <v>114</v>
      </c>
      <c r="J2422" s="47" t="s">
        <v>28</v>
      </c>
      <c r="K2422" s="47" t="s">
        <v>33</v>
      </c>
    </row>
    <row r="2423" customFormat="false" ht="15" hidden="false" customHeight="false" outlineLevel="0" collapsed="false">
      <c r="A2423" s="0" t="s">
        <v>3561</v>
      </c>
      <c r="B2423" s="0" t="s">
        <v>520</v>
      </c>
      <c r="D2423" s="46" t="n">
        <v>45946</v>
      </c>
      <c r="E2423" s="47" t="s">
        <v>62</v>
      </c>
      <c r="F2423" s="48" t="n">
        <v>13773</v>
      </c>
      <c r="G2423" s="47" t="s">
        <v>66</v>
      </c>
      <c r="H2423" s="47" t="s">
        <v>47</v>
      </c>
      <c r="I2423" s="47" t="s">
        <v>108</v>
      </c>
      <c r="J2423" s="47" t="s">
        <v>28</v>
      </c>
      <c r="K2423" s="47" t="s">
        <v>34</v>
      </c>
    </row>
    <row r="2424" customFormat="false" ht="15" hidden="false" customHeight="false" outlineLevel="0" collapsed="false">
      <c r="A2424" s="0" t="s">
        <v>3562</v>
      </c>
      <c r="B2424" s="0" t="s">
        <v>2992</v>
      </c>
      <c r="D2424" s="46" t="n">
        <v>45772</v>
      </c>
      <c r="E2424" s="47" t="s">
        <v>61</v>
      </c>
      <c r="F2424" s="48" t="n">
        <v>130352.76</v>
      </c>
      <c r="G2424" s="47" t="s">
        <v>65</v>
      </c>
      <c r="H2424" s="47" t="s">
        <v>39</v>
      </c>
      <c r="I2424" s="47" t="s">
        <v>98</v>
      </c>
      <c r="J2424" s="47" t="s">
        <v>28</v>
      </c>
      <c r="K2424" s="47" t="s">
        <v>33</v>
      </c>
    </row>
    <row r="2425" customFormat="false" ht="15" hidden="false" customHeight="false" outlineLevel="0" collapsed="false">
      <c r="A2425" s="0" t="s">
        <v>3563</v>
      </c>
      <c r="B2425" s="0" t="s">
        <v>1575</v>
      </c>
      <c r="D2425" s="46" t="n">
        <v>45740</v>
      </c>
      <c r="E2425" s="47" t="s">
        <v>55</v>
      </c>
      <c r="F2425" s="48" t="n">
        <v>65985.48</v>
      </c>
      <c r="G2425" s="47" t="s">
        <v>68</v>
      </c>
      <c r="H2425" s="47" t="s">
        <v>41</v>
      </c>
      <c r="I2425" s="47" t="s">
        <v>293</v>
      </c>
      <c r="J2425" s="47" t="s">
        <v>28</v>
      </c>
      <c r="K2425" s="47" t="s">
        <v>33</v>
      </c>
    </row>
    <row r="2426" customFormat="false" ht="15" hidden="false" customHeight="false" outlineLevel="0" collapsed="false">
      <c r="A2426" s="0" t="s">
        <v>3564</v>
      </c>
      <c r="B2426" s="0" t="s">
        <v>681</v>
      </c>
      <c r="D2426" s="46" t="n">
        <v>45815</v>
      </c>
      <c r="E2426" s="47" t="s">
        <v>60</v>
      </c>
      <c r="F2426" s="48" t="n">
        <v>125920.4</v>
      </c>
      <c r="G2426" s="47" t="s">
        <v>66</v>
      </c>
      <c r="H2426" s="47" t="s">
        <v>46</v>
      </c>
      <c r="I2426" s="47" t="s">
        <v>148</v>
      </c>
      <c r="J2426" s="47" t="s">
        <v>28</v>
      </c>
      <c r="K2426" s="47" t="s">
        <v>33</v>
      </c>
    </row>
    <row r="2427" customFormat="false" ht="15" hidden="false" customHeight="false" outlineLevel="0" collapsed="false">
      <c r="A2427" s="0" t="s">
        <v>3565</v>
      </c>
      <c r="B2427" s="0" t="s">
        <v>669</v>
      </c>
      <c r="D2427" s="46" t="n">
        <v>46082</v>
      </c>
      <c r="E2427" s="47" t="s">
        <v>55</v>
      </c>
      <c r="F2427" s="48" t="n">
        <v>132996.61</v>
      </c>
      <c r="G2427" s="47" t="s">
        <v>68</v>
      </c>
      <c r="H2427" s="47" t="s">
        <v>40</v>
      </c>
      <c r="I2427" s="47" t="s">
        <v>83</v>
      </c>
      <c r="J2427" s="47" t="s">
        <v>28</v>
      </c>
      <c r="K2427" s="47" t="s">
        <v>34</v>
      </c>
    </row>
    <row r="2428" customFormat="false" ht="15" hidden="false" customHeight="false" outlineLevel="0" collapsed="false">
      <c r="A2428" s="0" t="s">
        <v>3566</v>
      </c>
      <c r="B2428" s="0" t="s">
        <v>2765</v>
      </c>
      <c r="D2428" s="46" t="n">
        <v>46126</v>
      </c>
      <c r="E2428" s="47" t="s">
        <v>59</v>
      </c>
      <c r="F2428" s="48" t="n">
        <v>50915.7</v>
      </c>
      <c r="G2428" s="47" t="s">
        <v>68</v>
      </c>
      <c r="H2428" s="47" t="s">
        <v>39</v>
      </c>
      <c r="I2428" s="47" t="s">
        <v>177</v>
      </c>
      <c r="J2428" s="47" t="s">
        <v>28</v>
      </c>
      <c r="K2428" s="47" t="s">
        <v>34</v>
      </c>
    </row>
    <row r="2429" customFormat="false" ht="15" hidden="false" customHeight="false" outlineLevel="0" collapsed="false">
      <c r="A2429" s="0" t="s">
        <v>3567</v>
      </c>
      <c r="B2429" s="0" t="s">
        <v>205</v>
      </c>
      <c r="C2429" s="0" t="s">
        <v>3568</v>
      </c>
      <c r="D2429" s="46" t="n">
        <v>45675</v>
      </c>
      <c r="E2429" s="47" t="s">
        <v>53</v>
      </c>
      <c r="F2429" s="48" t="n">
        <v>86364.13</v>
      </c>
      <c r="G2429" s="47" t="s">
        <v>53</v>
      </c>
      <c r="H2429" s="47" t="s">
        <v>40</v>
      </c>
      <c r="I2429" s="47" t="s">
        <v>89</v>
      </c>
      <c r="J2429" s="47" t="s">
        <v>28</v>
      </c>
      <c r="K2429" s="47" t="s">
        <v>33</v>
      </c>
    </row>
    <row r="2430" customFormat="false" ht="15" hidden="false" customHeight="false" outlineLevel="0" collapsed="false">
      <c r="A2430" s="0" t="s">
        <v>3569</v>
      </c>
      <c r="B2430" s="0" t="s">
        <v>85</v>
      </c>
      <c r="D2430" s="46" t="n">
        <v>45792</v>
      </c>
      <c r="E2430" s="47" t="s">
        <v>60</v>
      </c>
      <c r="F2430" s="48" t="n">
        <v>138911.65</v>
      </c>
      <c r="G2430" s="47" t="s">
        <v>57</v>
      </c>
      <c r="H2430" s="47" t="s">
        <v>41</v>
      </c>
      <c r="I2430" s="47" t="s">
        <v>86</v>
      </c>
      <c r="J2430" s="47" t="s">
        <v>28</v>
      </c>
      <c r="K2430" s="47" t="s">
        <v>33</v>
      </c>
    </row>
    <row r="2431" customFormat="false" ht="15" hidden="false" customHeight="false" outlineLevel="0" collapsed="false">
      <c r="A2431" s="0" t="s">
        <v>3570</v>
      </c>
      <c r="B2431" s="0" t="s">
        <v>853</v>
      </c>
      <c r="D2431" s="46" t="n">
        <v>45966</v>
      </c>
      <c r="E2431" s="47" t="s">
        <v>55</v>
      </c>
      <c r="F2431" s="48" t="n">
        <v>118318.24</v>
      </c>
      <c r="G2431" s="47" t="s">
        <v>53</v>
      </c>
      <c r="H2431" s="47" t="s">
        <v>44</v>
      </c>
      <c r="I2431" s="47" t="s">
        <v>132</v>
      </c>
      <c r="J2431" s="47" t="s">
        <v>28</v>
      </c>
      <c r="K2431" s="47" t="s">
        <v>34</v>
      </c>
    </row>
    <row r="2432" customFormat="false" ht="15" hidden="false" customHeight="false" outlineLevel="0" collapsed="false">
      <c r="A2432" s="0" t="s">
        <v>3571</v>
      </c>
      <c r="B2432" s="0" t="s">
        <v>774</v>
      </c>
      <c r="D2432" s="46" t="n">
        <v>45698</v>
      </c>
      <c r="E2432" s="47" t="s">
        <v>58</v>
      </c>
      <c r="F2432" s="48" t="n">
        <v>124479.38</v>
      </c>
      <c r="G2432" s="47" t="s">
        <v>53</v>
      </c>
      <c r="H2432" s="47" t="s">
        <v>47</v>
      </c>
      <c r="I2432" s="47" t="s">
        <v>245</v>
      </c>
      <c r="J2432" s="47" t="s">
        <v>28</v>
      </c>
      <c r="K2432" s="47" t="s">
        <v>34</v>
      </c>
    </row>
    <row r="2433" customFormat="false" ht="15" hidden="false" customHeight="false" outlineLevel="0" collapsed="false">
      <c r="A2433" s="0" t="s">
        <v>3572</v>
      </c>
      <c r="B2433" s="0" t="s">
        <v>590</v>
      </c>
      <c r="D2433" s="46" t="n">
        <v>45844</v>
      </c>
      <c r="E2433" s="47" t="s">
        <v>62</v>
      </c>
      <c r="F2433" s="48" t="n">
        <v>88890.98</v>
      </c>
      <c r="G2433" s="47" t="s">
        <v>53</v>
      </c>
      <c r="H2433" s="47" t="s">
        <v>44</v>
      </c>
      <c r="I2433" s="47" t="s">
        <v>226</v>
      </c>
      <c r="J2433" s="47" t="s">
        <v>30</v>
      </c>
      <c r="K2433" s="47" t="s">
        <v>34</v>
      </c>
    </row>
    <row r="2434" customFormat="false" ht="15" hidden="false" customHeight="false" outlineLevel="0" collapsed="false">
      <c r="A2434" s="0" t="s">
        <v>3573</v>
      </c>
      <c r="B2434" s="0" t="s">
        <v>439</v>
      </c>
      <c r="C2434" s="0" t="s">
        <v>2853</v>
      </c>
      <c r="D2434" s="46" t="n">
        <v>46235</v>
      </c>
      <c r="E2434" s="47" t="s">
        <v>59</v>
      </c>
      <c r="F2434" s="48" t="n">
        <v>198830.6</v>
      </c>
      <c r="G2434" s="47" t="s">
        <v>57</v>
      </c>
      <c r="H2434" s="47" t="s">
        <v>39</v>
      </c>
      <c r="I2434" s="47" t="s">
        <v>98</v>
      </c>
      <c r="J2434" s="47" t="s">
        <v>28</v>
      </c>
      <c r="K2434" s="47" t="s">
        <v>34</v>
      </c>
    </row>
    <row r="2435" customFormat="false" ht="15" hidden="false" customHeight="false" outlineLevel="0" collapsed="false">
      <c r="A2435" s="0" t="s">
        <v>3574</v>
      </c>
      <c r="B2435" s="0" t="s">
        <v>144</v>
      </c>
      <c r="D2435" s="46" t="n">
        <v>45993</v>
      </c>
      <c r="E2435" s="47" t="s">
        <v>55</v>
      </c>
      <c r="F2435" s="48" t="n">
        <v>99769.86</v>
      </c>
      <c r="G2435" s="47" t="s">
        <v>53</v>
      </c>
      <c r="H2435" s="47" t="s">
        <v>39</v>
      </c>
      <c r="I2435" s="47" t="s">
        <v>145</v>
      </c>
      <c r="J2435" s="47" t="s">
        <v>29</v>
      </c>
      <c r="K2435" s="47" t="s">
        <v>34</v>
      </c>
    </row>
    <row r="2436" customFormat="false" ht="15" hidden="false" customHeight="false" outlineLevel="0" collapsed="false">
      <c r="A2436" s="0" t="s">
        <v>3575</v>
      </c>
      <c r="B2436" s="0" t="s">
        <v>2864</v>
      </c>
      <c r="D2436" s="46" t="n">
        <v>46095</v>
      </c>
      <c r="E2436" s="47" t="s">
        <v>53</v>
      </c>
      <c r="F2436" s="48" t="n">
        <v>95571.23</v>
      </c>
      <c r="G2436" s="47" t="s">
        <v>57</v>
      </c>
      <c r="H2436" s="47" t="s">
        <v>42</v>
      </c>
      <c r="I2436" s="47" t="s">
        <v>105</v>
      </c>
      <c r="J2436" s="47" t="s">
        <v>28</v>
      </c>
      <c r="K2436" s="47" t="s">
        <v>34</v>
      </c>
    </row>
    <row r="2437" customFormat="false" ht="15" hidden="false" customHeight="false" outlineLevel="0" collapsed="false">
      <c r="A2437" s="0" t="s">
        <v>3576</v>
      </c>
      <c r="B2437" s="0" t="s">
        <v>1408</v>
      </c>
      <c r="D2437" s="46" t="n">
        <v>45701</v>
      </c>
      <c r="E2437" s="47" t="s">
        <v>60</v>
      </c>
      <c r="F2437" s="48" t="n">
        <v>99814.82</v>
      </c>
      <c r="G2437" s="47" t="s">
        <v>57</v>
      </c>
      <c r="H2437" s="47" t="s">
        <v>46</v>
      </c>
      <c r="I2437" s="47" t="s">
        <v>242</v>
      </c>
      <c r="J2437" s="47" t="s">
        <v>28</v>
      </c>
      <c r="K2437" s="47" t="s">
        <v>34</v>
      </c>
    </row>
    <row r="2438" customFormat="false" ht="15" hidden="false" customHeight="false" outlineLevel="0" collapsed="false">
      <c r="A2438" s="0" t="s">
        <v>3577</v>
      </c>
      <c r="B2438" s="0" t="s">
        <v>679</v>
      </c>
      <c r="D2438" s="46" t="n">
        <v>46233</v>
      </c>
      <c r="E2438" s="47" t="s">
        <v>62</v>
      </c>
      <c r="F2438" s="48" t="n">
        <v>176387.79</v>
      </c>
      <c r="G2438" s="47" t="s">
        <v>66</v>
      </c>
      <c r="H2438" s="47" t="s">
        <v>46</v>
      </c>
      <c r="I2438" s="47" t="s">
        <v>148</v>
      </c>
      <c r="J2438" s="47" t="s">
        <v>28</v>
      </c>
      <c r="K2438" s="47" t="s">
        <v>34</v>
      </c>
    </row>
    <row r="2439" customFormat="false" ht="15" hidden="false" customHeight="false" outlineLevel="0" collapsed="false">
      <c r="A2439" s="0" t="s">
        <v>3578</v>
      </c>
      <c r="B2439" s="0" t="s">
        <v>1270</v>
      </c>
      <c r="D2439" s="46" t="n">
        <v>45731</v>
      </c>
      <c r="E2439" s="47" t="s">
        <v>62</v>
      </c>
      <c r="F2439" s="48" t="n">
        <v>59728.71</v>
      </c>
      <c r="G2439" s="47" t="s">
        <v>57</v>
      </c>
      <c r="H2439" s="47" t="s">
        <v>44</v>
      </c>
      <c r="I2439" s="47" t="s">
        <v>132</v>
      </c>
      <c r="J2439" s="47" t="s">
        <v>28</v>
      </c>
      <c r="K2439" s="47" t="s">
        <v>34</v>
      </c>
    </row>
    <row r="2440" customFormat="false" ht="15" hidden="false" customHeight="false" outlineLevel="0" collapsed="false">
      <c r="A2440" s="0" t="s">
        <v>3579</v>
      </c>
      <c r="B2440" s="0" t="s">
        <v>3580</v>
      </c>
      <c r="C2440" s="0" t="s">
        <v>3581</v>
      </c>
      <c r="D2440" s="46" t="n">
        <v>45833</v>
      </c>
      <c r="E2440" s="47" t="s">
        <v>59</v>
      </c>
      <c r="F2440" s="48" t="n">
        <v>13304.9</v>
      </c>
      <c r="G2440" s="47" t="s">
        <v>68</v>
      </c>
      <c r="H2440" s="47" t="s">
        <v>43</v>
      </c>
      <c r="I2440" s="47" t="s">
        <v>117</v>
      </c>
      <c r="J2440" s="47" t="s">
        <v>28</v>
      </c>
      <c r="K2440" s="47" t="s">
        <v>33</v>
      </c>
    </row>
    <row r="2441" customFormat="false" ht="15" hidden="false" customHeight="false" outlineLevel="0" collapsed="false">
      <c r="A2441" s="0" t="s">
        <v>3582</v>
      </c>
      <c r="B2441" s="0" t="s">
        <v>1982</v>
      </c>
      <c r="D2441" s="46" t="n">
        <v>45800</v>
      </c>
      <c r="E2441" s="47" t="s">
        <v>53</v>
      </c>
      <c r="F2441" s="48" t="n">
        <v>198086.8</v>
      </c>
      <c r="G2441" s="47" t="s">
        <v>68</v>
      </c>
      <c r="H2441" s="47" t="s">
        <v>47</v>
      </c>
      <c r="I2441" s="47" t="s">
        <v>108</v>
      </c>
      <c r="J2441" s="47" t="s">
        <v>28</v>
      </c>
      <c r="K2441" s="47" t="s">
        <v>34</v>
      </c>
    </row>
    <row r="2442" customFormat="false" ht="15" hidden="false" customHeight="false" outlineLevel="0" collapsed="false">
      <c r="A2442" s="0" t="s">
        <v>3583</v>
      </c>
      <c r="B2442" s="0" t="s">
        <v>1524</v>
      </c>
      <c r="D2442" s="46" t="n">
        <v>46114</v>
      </c>
      <c r="E2442" s="47" t="s">
        <v>58</v>
      </c>
      <c r="F2442" s="48" t="n">
        <v>164243.01</v>
      </c>
      <c r="G2442" s="47" t="s">
        <v>57</v>
      </c>
      <c r="H2442" s="47" t="s">
        <v>40</v>
      </c>
      <c r="I2442" s="47" t="s">
        <v>89</v>
      </c>
      <c r="J2442" s="47" t="s">
        <v>28</v>
      </c>
      <c r="K2442" s="47" t="s">
        <v>34</v>
      </c>
    </row>
    <row r="2443" customFormat="false" ht="15" hidden="false" customHeight="false" outlineLevel="0" collapsed="false">
      <c r="A2443" s="0" t="s">
        <v>3584</v>
      </c>
      <c r="B2443" s="0" t="s">
        <v>3585</v>
      </c>
      <c r="D2443" s="46" t="n">
        <v>45816</v>
      </c>
      <c r="E2443" s="47" t="s">
        <v>59</v>
      </c>
      <c r="F2443" s="48" t="n">
        <v>146204.9</v>
      </c>
      <c r="G2443" s="47" t="s">
        <v>66</v>
      </c>
      <c r="H2443" s="47" t="s">
        <v>41</v>
      </c>
      <c r="I2443" s="47" t="s">
        <v>86</v>
      </c>
      <c r="J2443" s="47" t="s">
        <v>30</v>
      </c>
      <c r="K2443" s="47" t="s">
        <v>33</v>
      </c>
    </row>
    <row r="2444" customFormat="false" ht="15" hidden="false" customHeight="false" outlineLevel="0" collapsed="false">
      <c r="A2444" s="0" t="s">
        <v>3586</v>
      </c>
      <c r="B2444" s="0" t="s">
        <v>1134</v>
      </c>
      <c r="D2444" s="46" t="n">
        <v>45661</v>
      </c>
      <c r="E2444" s="47" t="s">
        <v>61</v>
      </c>
      <c r="F2444" s="48" t="n">
        <v>193796.18</v>
      </c>
      <c r="G2444" s="47" t="s">
        <v>53</v>
      </c>
      <c r="H2444" s="47" t="s">
        <v>48</v>
      </c>
      <c r="I2444" s="47" t="s">
        <v>114</v>
      </c>
      <c r="J2444" s="47" t="s">
        <v>28</v>
      </c>
      <c r="K2444" s="47" t="s">
        <v>33</v>
      </c>
    </row>
    <row r="2445" customFormat="false" ht="15" hidden="false" customHeight="false" outlineLevel="0" collapsed="false">
      <c r="A2445" s="0" t="s">
        <v>3587</v>
      </c>
      <c r="B2445" s="0" t="s">
        <v>2287</v>
      </c>
      <c r="D2445" s="46" t="n">
        <v>46165</v>
      </c>
      <c r="E2445" s="47" t="s">
        <v>62</v>
      </c>
      <c r="F2445" s="48" t="n">
        <v>56517.5</v>
      </c>
      <c r="G2445" s="47" t="s">
        <v>66</v>
      </c>
      <c r="H2445" s="47" t="s">
        <v>40</v>
      </c>
      <c r="I2445" s="47" t="s">
        <v>89</v>
      </c>
      <c r="J2445" s="47" t="s">
        <v>30</v>
      </c>
      <c r="K2445" s="47" t="s">
        <v>33</v>
      </c>
    </row>
    <row r="2446" customFormat="false" ht="15" hidden="false" customHeight="false" outlineLevel="0" collapsed="false">
      <c r="A2446" s="0" t="s">
        <v>3588</v>
      </c>
      <c r="B2446" s="0" t="s">
        <v>463</v>
      </c>
      <c r="D2446" s="46" t="n">
        <v>45733</v>
      </c>
      <c r="E2446" s="47" t="s">
        <v>61</v>
      </c>
      <c r="F2446" s="48" t="n">
        <v>74865.72</v>
      </c>
      <c r="G2446" s="47" t="s">
        <v>57</v>
      </c>
      <c r="H2446" s="47" t="s">
        <v>40</v>
      </c>
      <c r="I2446" s="47" t="s">
        <v>83</v>
      </c>
      <c r="J2446" s="47" t="s">
        <v>29</v>
      </c>
      <c r="K2446" s="47" t="s">
        <v>33</v>
      </c>
    </row>
    <row r="2447" customFormat="false" ht="15" hidden="false" customHeight="false" outlineLevel="0" collapsed="false">
      <c r="A2447" s="0" t="s">
        <v>3589</v>
      </c>
      <c r="B2447" s="0" t="s">
        <v>1024</v>
      </c>
      <c r="D2447" s="46" t="n">
        <v>45771</v>
      </c>
      <c r="E2447" s="47" t="s">
        <v>58</v>
      </c>
      <c r="F2447" s="48" t="n">
        <v>76741.83</v>
      </c>
      <c r="G2447" s="47" t="s">
        <v>66</v>
      </c>
      <c r="H2447" s="47" t="s">
        <v>43</v>
      </c>
      <c r="I2447" s="47" t="s">
        <v>102</v>
      </c>
      <c r="J2447" s="47" t="s">
        <v>28</v>
      </c>
      <c r="K2447" s="47" t="s">
        <v>33</v>
      </c>
    </row>
    <row r="2448" customFormat="false" ht="15" hidden="false" customHeight="false" outlineLevel="0" collapsed="false">
      <c r="A2448" s="0" t="s">
        <v>3590</v>
      </c>
      <c r="B2448" s="0" t="s">
        <v>2514</v>
      </c>
      <c r="D2448" s="46" t="n">
        <v>46026</v>
      </c>
      <c r="E2448" s="47" t="s">
        <v>59</v>
      </c>
      <c r="F2448" s="48" t="n">
        <v>25702.17</v>
      </c>
      <c r="G2448" s="47" t="s">
        <v>66</v>
      </c>
      <c r="H2448" s="47" t="s">
        <v>46</v>
      </c>
      <c r="I2448" s="47" t="s">
        <v>148</v>
      </c>
      <c r="J2448" s="47" t="s">
        <v>28</v>
      </c>
      <c r="K2448" s="47" t="s">
        <v>33</v>
      </c>
    </row>
    <row r="2449" customFormat="false" ht="15" hidden="false" customHeight="false" outlineLevel="0" collapsed="false">
      <c r="A2449" s="0" t="s">
        <v>3591</v>
      </c>
      <c r="B2449" s="0" t="s">
        <v>822</v>
      </c>
      <c r="C2449" s="0" t="s">
        <v>3592</v>
      </c>
      <c r="D2449" s="46" t="n">
        <v>45993</v>
      </c>
      <c r="E2449" s="47" t="s">
        <v>60</v>
      </c>
      <c r="F2449" s="48" t="n">
        <v>10550.94</v>
      </c>
      <c r="G2449" s="47" t="s">
        <v>53</v>
      </c>
      <c r="H2449" s="47" t="s">
        <v>42</v>
      </c>
      <c r="I2449" s="47" t="s">
        <v>398</v>
      </c>
      <c r="J2449" s="47" t="s">
        <v>28</v>
      </c>
      <c r="K2449" s="47" t="s">
        <v>33</v>
      </c>
    </row>
    <row r="2450" customFormat="false" ht="15" hidden="false" customHeight="false" outlineLevel="0" collapsed="false">
      <c r="A2450" s="0" t="s">
        <v>3593</v>
      </c>
      <c r="B2450" s="0" t="s">
        <v>669</v>
      </c>
      <c r="D2450" s="46" t="n">
        <v>46293</v>
      </c>
      <c r="E2450" s="47" t="s">
        <v>60</v>
      </c>
      <c r="F2450" s="48" t="n">
        <v>133905.29</v>
      </c>
      <c r="G2450" s="47" t="s">
        <v>68</v>
      </c>
      <c r="H2450" s="47" t="s">
        <v>40</v>
      </c>
      <c r="I2450" s="47" t="s">
        <v>83</v>
      </c>
      <c r="J2450" s="47" t="s">
        <v>28</v>
      </c>
      <c r="K2450" s="47" t="s">
        <v>33</v>
      </c>
    </row>
    <row r="2451" customFormat="false" ht="15" hidden="false" customHeight="false" outlineLevel="0" collapsed="false">
      <c r="A2451" s="0" t="s">
        <v>3594</v>
      </c>
      <c r="B2451" s="0" t="s">
        <v>1132</v>
      </c>
      <c r="C2451" s="0" t="s">
        <v>3595</v>
      </c>
      <c r="D2451" s="46" t="n">
        <v>46242</v>
      </c>
      <c r="E2451" s="47" t="s">
        <v>59</v>
      </c>
      <c r="F2451" s="48" t="n">
        <v>113422.45</v>
      </c>
      <c r="G2451" s="47" t="s">
        <v>66</v>
      </c>
      <c r="H2451" s="47" t="s">
        <v>41</v>
      </c>
      <c r="I2451" s="47" t="s">
        <v>293</v>
      </c>
      <c r="J2451" s="47" t="s">
        <v>29</v>
      </c>
      <c r="K2451" s="47" t="s">
        <v>34</v>
      </c>
    </row>
    <row r="2452" customFormat="false" ht="15" hidden="false" customHeight="false" outlineLevel="0" collapsed="false">
      <c r="A2452" s="0" t="s">
        <v>3596</v>
      </c>
      <c r="B2452" s="0" t="s">
        <v>645</v>
      </c>
      <c r="D2452" s="46" t="n">
        <v>45963</v>
      </c>
      <c r="E2452" s="47" t="s">
        <v>53</v>
      </c>
      <c r="F2452" s="48" t="n">
        <v>157983.96</v>
      </c>
      <c r="G2452" s="47" t="s">
        <v>66</v>
      </c>
      <c r="H2452" s="47" t="s">
        <v>43</v>
      </c>
      <c r="I2452" s="47" t="s">
        <v>201</v>
      </c>
      <c r="J2452" s="47" t="s">
        <v>28</v>
      </c>
      <c r="K2452" s="47" t="s">
        <v>33</v>
      </c>
    </row>
    <row r="2453" customFormat="false" ht="15" hidden="false" customHeight="false" outlineLevel="0" collapsed="false">
      <c r="A2453" s="0" t="s">
        <v>3597</v>
      </c>
      <c r="B2453" s="0" t="s">
        <v>2201</v>
      </c>
      <c r="D2453" s="46" t="n">
        <v>46119</v>
      </c>
      <c r="E2453" s="47" t="s">
        <v>55</v>
      </c>
      <c r="F2453" s="48" t="n">
        <v>105159.51</v>
      </c>
      <c r="G2453" s="47" t="s">
        <v>66</v>
      </c>
      <c r="H2453" s="47" t="s">
        <v>46</v>
      </c>
      <c r="I2453" s="47" t="s">
        <v>121</v>
      </c>
      <c r="J2453" s="47" t="s">
        <v>28</v>
      </c>
      <c r="K2453" s="47" t="s">
        <v>33</v>
      </c>
    </row>
    <row r="2454" customFormat="false" ht="15" hidden="false" customHeight="false" outlineLevel="0" collapsed="false">
      <c r="A2454" s="0" t="s">
        <v>3598</v>
      </c>
      <c r="B2454" s="0" t="s">
        <v>575</v>
      </c>
      <c r="C2454" s="0" t="s">
        <v>3599</v>
      </c>
      <c r="D2454" s="46" t="n">
        <v>45862</v>
      </c>
      <c r="E2454" s="47" t="s">
        <v>55</v>
      </c>
      <c r="F2454" s="48" t="n">
        <v>33850.94</v>
      </c>
      <c r="G2454" s="47" t="s">
        <v>66</v>
      </c>
      <c r="H2454" s="47" t="s">
        <v>45</v>
      </c>
      <c r="I2454" s="47" t="s">
        <v>217</v>
      </c>
      <c r="J2454" s="47" t="s">
        <v>28</v>
      </c>
      <c r="K2454" s="47" t="s">
        <v>34</v>
      </c>
    </row>
    <row r="2455" customFormat="false" ht="15" hidden="false" customHeight="false" outlineLevel="0" collapsed="false">
      <c r="A2455" s="0" t="s">
        <v>3600</v>
      </c>
      <c r="B2455" s="0" t="s">
        <v>1841</v>
      </c>
      <c r="D2455" s="46" t="n">
        <v>45904</v>
      </c>
      <c r="E2455" s="47" t="s">
        <v>60</v>
      </c>
      <c r="F2455" s="48" t="n">
        <v>74097.32</v>
      </c>
      <c r="G2455" s="47" t="s">
        <v>66</v>
      </c>
      <c r="H2455" s="47" t="s">
        <v>46</v>
      </c>
      <c r="I2455" s="47" t="s">
        <v>242</v>
      </c>
      <c r="J2455" s="47" t="s">
        <v>29</v>
      </c>
      <c r="K2455" s="47" t="s">
        <v>34</v>
      </c>
    </row>
    <row r="2456" customFormat="false" ht="15" hidden="false" customHeight="false" outlineLevel="0" collapsed="false">
      <c r="A2456" s="0" t="s">
        <v>3601</v>
      </c>
      <c r="B2456" s="0" t="s">
        <v>1901</v>
      </c>
      <c r="D2456" s="46" t="n">
        <v>46080</v>
      </c>
      <c r="E2456" s="47" t="s">
        <v>59</v>
      </c>
      <c r="F2456" s="48" t="n">
        <v>101945.58</v>
      </c>
      <c r="G2456" s="47" t="s">
        <v>57</v>
      </c>
      <c r="H2456" s="47" t="s">
        <v>42</v>
      </c>
      <c r="I2456" s="47" t="s">
        <v>105</v>
      </c>
      <c r="J2456" s="47" t="s">
        <v>28</v>
      </c>
      <c r="K2456" s="47" t="s">
        <v>33</v>
      </c>
    </row>
    <row r="2457" customFormat="false" ht="15" hidden="false" customHeight="false" outlineLevel="0" collapsed="false">
      <c r="A2457" s="0" t="s">
        <v>3602</v>
      </c>
      <c r="B2457" s="0" t="s">
        <v>2327</v>
      </c>
      <c r="D2457" s="46" t="n">
        <v>46091</v>
      </c>
      <c r="E2457" s="47" t="s">
        <v>53</v>
      </c>
      <c r="F2457" s="48" t="n">
        <v>2255.4</v>
      </c>
      <c r="G2457" s="47" t="s">
        <v>57</v>
      </c>
      <c r="H2457" s="47" t="s">
        <v>42</v>
      </c>
      <c r="I2457" s="47" t="s">
        <v>398</v>
      </c>
      <c r="J2457" s="47" t="s">
        <v>28</v>
      </c>
      <c r="K2457" s="47" t="s">
        <v>34</v>
      </c>
    </row>
    <row r="2458" customFormat="false" ht="15" hidden="false" customHeight="false" outlineLevel="0" collapsed="false">
      <c r="A2458" s="0" t="s">
        <v>3603</v>
      </c>
      <c r="B2458" s="0" t="s">
        <v>1833</v>
      </c>
      <c r="D2458" s="46" t="n">
        <v>45725</v>
      </c>
      <c r="E2458" s="47" t="s">
        <v>59</v>
      </c>
      <c r="F2458" s="48" t="n">
        <v>85978.16</v>
      </c>
      <c r="G2458" s="47" t="s">
        <v>53</v>
      </c>
      <c r="H2458" s="47" t="s">
        <v>42</v>
      </c>
      <c r="I2458" s="47" t="s">
        <v>105</v>
      </c>
      <c r="J2458" s="47" t="s">
        <v>28</v>
      </c>
      <c r="K2458" s="47" t="s">
        <v>34</v>
      </c>
    </row>
    <row r="2459" customFormat="false" ht="15" hidden="false" customHeight="false" outlineLevel="0" collapsed="false">
      <c r="A2459" s="0" t="s">
        <v>3604</v>
      </c>
      <c r="B2459" s="0" t="s">
        <v>1534</v>
      </c>
      <c r="D2459" s="46" t="n">
        <v>45945</v>
      </c>
      <c r="E2459" s="47" t="s">
        <v>55</v>
      </c>
      <c r="F2459" s="48" t="n">
        <v>15030.78</v>
      </c>
      <c r="G2459" s="47" t="s">
        <v>68</v>
      </c>
      <c r="H2459" s="47" t="s">
        <v>39</v>
      </c>
      <c r="I2459" s="47" t="s">
        <v>177</v>
      </c>
      <c r="J2459" s="47" t="s">
        <v>28</v>
      </c>
      <c r="K2459" s="47" t="s">
        <v>33</v>
      </c>
    </row>
    <row r="2460" customFormat="false" ht="15" hidden="false" customHeight="false" outlineLevel="0" collapsed="false">
      <c r="A2460" s="0" t="s">
        <v>3605</v>
      </c>
      <c r="B2460" s="0" t="s">
        <v>3368</v>
      </c>
      <c r="D2460" s="46" t="n">
        <v>46067</v>
      </c>
      <c r="E2460" s="47" t="s">
        <v>53</v>
      </c>
      <c r="F2460" s="48" t="n">
        <v>122795.22</v>
      </c>
      <c r="G2460" s="47" t="s">
        <v>53</v>
      </c>
      <c r="H2460" s="47" t="s">
        <v>41</v>
      </c>
      <c r="I2460" s="47" t="s">
        <v>272</v>
      </c>
      <c r="J2460" s="47" t="s">
        <v>29</v>
      </c>
      <c r="K2460" s="47" t="s">
        <v>33</v>
      </c>
    </row>
    <row r="2461" customFormat="false" ht="15" hidden="false" customHeight="false" outlineLevel="0" collapsed="false">
      <c r="A2461" s="0" t="s">
        <v>3606</v>
      </c>
      <c r="B2461" s="0" t="s">
        <v>1861</v>
      </c>
      <c r="D2461" s="46" t="n">
        <v>46230</v>
      </c>
      <c r="E2461" s="47" t="s">
        <v>53</v>
      </c>
      <c r="F2461" s="48" t="n">
        <v>42044.55</v>
      </c>
      <c r="G2461" s="47" t="s">
        <v>57</v>
      </c>
      <c r="H2461" s="47" t="s">
        <v>42</v>
      </c>
      <c r="I2461" s="47" t="s">
        <v>105</v>
      </c>
      <c r="J2461" s="47" t="s">
        <v>30</v>
      </c>
      <c r="K2461" s="47" t="s">
        <v>33</v>
      </c>
    </row>
    <row r="2462" customFormat="false" ht="15" hidden="false" customHeight="false" outlineLevel="0" collapsed="false">
      <c r="A2462" s="0" t="s">
        <v>3607</v>
      </c>
      <c r="B2462" s="0" t="s">
        <v>735</v>
      </c>
      <c r="D2462" s="46" t="n">
        <v>45725</v>
      </c>
      <c r="E2462" s="47" t="s">
        <v>59</v>
      </c>
      <c r="F2462" s="48" t="n">
        <v>74172.07</v>
      </c>
      <c r="G2462" s="47" t="s">
        <v>57</v>
      </c>
      <c r="H2462" s="47" t="s">
        <v>41</v>
      </c>
      <c r="I2462" s="47" t="s">
        <v>293</v>
      </c>
      <c r="J2462" s="47" t="s">
        <v>28</v>
      </c>
      <c r="K2462" s="47" t="s">
        <v>34</v>
      </c>
    </row>
    <row r="2463" customFormat="false" ht="15" hidden="false" customHeight="false" outlineLevel="0" collapsed="false">
      <c r="A2463" s="0" t="s">
        <v>3608</v>
      </c>
      <c r="B2463" s="0" t="s">
        <v>730</v>
      </c>
      <c r="D2463" s="46" t="n">
        <v>46131</v>
      </c>
      <c r="E2463" s="47" t="s">
        <v>60</v>
      </c>
      <c r="F2463" s="48" t="n">
        <v>185802.56</v>
      </c>
      <c r="G2463" s="47" t="s">
        <v>66</v>
      </c>
      <c r="H2463" s="47" t="s">
        <v>48</v>
      </c>
      <c r="I2463" s="47" t="s">
        <v>114</v>
      </c>
      <c r="J2463" s="47" t="s">
        <v>28</v>
      </c>
      <c r="K2463" s="47" t="s">
        <v>33</v>
      </c>
    </row>
    <row r="2464" customFormat="false" ht="15" hidden="false" customHeight="false" outlineLevel="0" collapsed="false">
      <c r="A2464" s="0" t="s">
        <v>3609</v>
      </c>
      <c r="B2464" s="0" t="s">
        <v>1236</v>
      </c>
      <c r="D2464" s="46" t="n">
        <v>46182</v>
      </c>
      <c r="E2464" s="47" t="s">
        <v>59</v>
      </c>
      <c r="F2464" s="48" t="n">
        <v>80681.72</v>
      </c>
      <c r="G2464" s="47" t="s">
        <v>66</v>
      </c>
      <c r="H2464" s="47" t="s">
        <v>43</v>
      </c>
      <c r="I2464" s="47" t="s">
        <v>201</v>
      </c>
      <c r="J2464" s="47" t="s">
        <v>30</v>
      </c>
      <c r="K2464" s="47" t="s">
        <v>33</v>
      </c>
    </row>
    <row r="2465" customFormat="false" ht="15" hidden="false" customHeight="false" outlineLevel="0" collapsed="false">
      <c r="A2465" s="0" t="s">
        <v>3610</v>
      </c>
      <c r="B2465" s="0" t="s">
        <v>335</v>
      </c>
      <c r="D2465" s="46" t="n">
        <v>45693</v>
      </c>
      <c r="E2465" s="47" t="s">
        <v>60</v>
      </c>
      <c r="F2465" s="48" t="n">
        <v>88021.39</v>
      </c>
      <c r="G2465" s="47" t="s">
        <v>57</v>
      </c>
      <c r="H2465" s="47" t="s">
        <v>39</v>
      </c>
      <c r="I2465" s="47" t="s">
        <v>177</v>
      </c>
      <c r="J2465" s="47" t="s">
        <v>28</v>
      </c>
      <c r="K2465" s="47" t="s">
        <v>34</v>
      </c>
    </row>
    <row r="2466" customFormat="false" ht="15" hidden="false" customHeight="false" outlineLevel="0" collapsed="false">
      <c r="A2466" s="0" t="s">
        <v>3611</v>
      </c>
      <c r="B2466" s="0" t="s">
        <v>502</v>
      </c>
      <c r="C2466" s="0" t="s">
        <v>3612</v>
      </c>
      <c r="D2466" s="46" t="n">
        <v>46044</v>
      </c>
      <c r="E2466" s="47" t="s">
        <v>58</v>
      </c>
      <c r="F2466" s="48" t="n">
        <v>124836.13</v>
      </c>
      <c r="G2466" s="47" t="s">
        <v>66</v>
      </c>
      <c r="H2466" s="47" t="s">
        <v>43</v>
      </c>
      <c r="I2466" s="47" t="s">
        <v>102</v>
      </c>
      <c r="J2466" s="47" t="s">
        <v>28</v>
      </c>
      <c r="K2466" s="47" t="s">
        <v>33</v>
      </c>
    </row>
    <row r="2467" customFormat="false" ht="15" hidden="false" customHeight="false" outlineLevel="0" collapsed="false">
      <c r="A2467" s="0" t="s">
        <v>3613</v>
      </c>
      <c r="B2467" s="0" t="s">
        <v>2824</v>
      </c>
      <c r="D2467" s="46" t="n">
        <v>46215</v>
      </c>
      <c r="E2467" s="47" t="s">
        <v>60</v>
      </c>
      <c r="F2467" s="48" t="n">
        <v>30402.38</v>
      </c>
      <c r="G2467" s="47" t="s">
        <v>57</v>
      </c>
      <c r="H2467" s="47" t="s">
        <v>46</v>
      </c>
      <c r="I2467" s="47" t="s">
        <v>121</v>
      </c>
      <c r="J2467" s="47" t="s">
        <v>28</v>
      </c>
      <c r="K2467" s="47" t="s">
        <v>34</v>
      </c>
    </row>
    <row r="2468" customFormat="false" ht="15" hidden="false" customHeight="false" outlineLevel="0" collapsed="false">
      <c r="A2468" s="0" t="s">
        <v>3614</v>
      </c>
      <c r="B2468" s="0" t="s">
        <v>1146</v>
      </c>
      <c r="D2468" s="46" t="n">
        <v>45910</v>
      </c>
      <c r="E2468" s="47" t="s">
        <v>59</v>
      </c>
      <c r="F2468" s="48" t="n">
        <v>120813.57</v>
      </c>
      <c r="G2468" s="47" t="s">
        <v>57</v>
      </c>
      <c r="H2468" s="47" t="s">
        <v>47</v>
      </c>
      <c r="I2468" s="47" t="s">
        <v>166</v>
      </c>
      <c r="J2468" s="47" t="s">
        <v>28</v>
      </c>
      <c r="K2468" s="47" t="s">
        <v>34</v>
      </c>
    </row>
    <row r="2469" customFormat="false" ht="15" hidden="false" customHeight="false" outlineLevel="0" collapsed="false">
      <c r="A2469" s="0" t="s">
        <v>3615</v>
      </c>
      <c r="B2469" s="0" t="s">
        <v>2491</v>
      </c>
      <c r="D2469" s="46" t="n">
        <v>45888</v>
      </c>
      <c r="E2469" s="47" t="s">
        <v>53</v>
      </c>
      <c r="F2469" s="48" t="n">
        <v>127831.14</v>
      </c>
      <c r="G2469" s="47" t="s">
        <v>65</v>
      </c>
      <c r="H2469" s="47" t="s">
        <v>43</v>
      </c>
      <c r="I2469" s="47" t="s">
        <v>102</v>
      </c>
      <c r="J2469" s="47" t="s">
        <v>28</v>
      </c>
      <c r="K2469" s="47" t="s">
        <v>33</v>
      </c>
    </row>
    <row r="2470" customFormat="false" ht="15" hidden="false" customHeight="false" outlineLevel="0" collapsed="false">
      <c r="A2470" s="0" t="s">
        <v>3616</v>
      </c>
      <c r="B2470" s="0" t="s">
        <v>3063</v>
      </c>
      <c r="D2470" s="46" t="n">
        <v>45964</v>
      </c>
      <c r="E2470" s="47" t="s">
        <v>58</v>
      </c>
      <c r="F2470" s="48" t="n">
        <v>110221.92</v>
      </c>
      <c r="G2470" s="47" t="s">
        <v>68</v>
      </c>
      <c r="H2470" s="47" t="s">
        <v>39</v>
      </c>
      <c r="I2470" s="47" t="s">
        <v>145</v>
      </c>
      <c r="J2470" s="47" t="s">
        <v>28</v>
      </c>
      <c r="K2470" s="47" t="s">
        <v>34</v>
      </c>
    </row>
    <row r="2471" customFormat="false" ht="15" hidden="false" customHeight="false" outlineLevel="0" collapsed="false">
      <c r="A2471" s="0" t="s">
        <v>3617</v>
      </c>
      <c r="B2471" s="0" t="s">
        <v>139</v>
      </c>
      <c r="D2471" s="46" t="n">
        <v>45672</v>
      </c>
      <c r="E2471" s="47" t="s">
        <v>60</v>
      </c>
      <c r="F2471" s="48" t="n">
        <v>90897.49</v>
      </c>
      <c r="G2471" s="47" t="s">
        <v>68</v>
      </c>
      <c r="H2471" s="47" t="s">
        <v>41</v>
      </c>
      <c r="I2471" s="47" t="s">
        <v>86</v>
      </c>
      <c r="J2471" s="47" t="s">
        <v>28</v>
      </c>
      <c r="K2471" s="47" t="s">
        <v>34</v>
      </c>
    </row>
    <row r="2472" customFormat="false" ht="15" hidden="false" customHeight="false" outlineLevel="0" collapsed="false">
      <c r="A2472" s="0" t="s">
        <v>3618</v>
      </c>
      <c r="B2472" s="0" t="s">
        <v>1374</v>
      </c>
      <c r="D2472" s="46" t="n">
        <v>45920</v>
      </c>
      <c r="E2472" s="47" t="s">
        <v>60</v>
      </c>
      <c r="F2472" s="48" t="n">
        <v>907.74</v>
      </c>
      <c r="G2472" s="47" t="s">
        <v>66</v>
      </c>
      <c r="H2472" s="47" t="s">
        <v>40</v>
      </c>
      <c r="I2472" s="47" t="s">
        <v>83</v>
      </c>
      <c r="J2472" s="47" t="s">
        <v>30</v>
      </c>
      <c r="K2472" s="47" t="s">
        <v>34</v>
      </c>
    </row>
    <row r="2473" customFormat="false" ht="15" hidden="false" customHeight="false" outlineLevel="0" collapsed="false">
      <c r="A2473" s="0" t="s">
        <v>3619</v>
      </c>
      <c r="B2473" s="0" t="s">
        <v>1499</v>
      </c>
      <c r="D2473" s="46" t="n">
        <v>45998</v>
      </c>
      <c r="E2473" s="47" t="s">
        <v>55</v>
      </c>
      <c r="F2473" s="48" t="n">
        <v>137047.08</v>
      </c>
      <c r="G2473" s="47" t="s">
        <v>66</v>
      </c>
      <c r="H2473" s="47" t="s">
        <v>42</v>
      </c>
      <c r="I2473" s="47" t="s">
        <v>105</v>
      </c>
      <c r="J2473" s="47" t="s">
        <v>28</v>
      </c>
      <c r="K2473" s="47" t="s">
        <v>33</v>
      </c>
    </row>
    <row r="2474" customFormat="false" ht="15" hidden="false" customHeight="false" outlineLevel="0" collapsed="false">
      <c r="A2474" s="0" t="s">
        <v>3620</v>
      </c>
      <c r="B2474" s="0" t="s">
        <v>1563</v>
      </c>
      <c r="C2474" s="0" t="s">
        <v>1818</v>
      </c>
      <c r="D2474" s="46" t="n">
        <v>46181</v>
      </c>
      <c r="E2474" s="47" t="s">
        <v>62</v>
      </c>
      <c r="F2474" s="48" t="n">
        <v>15473.3</v>
      </c>
      <c r="G2474" s="47" t="s">
        <v>66</v>
      </c>
      <c r="H2474" s="47" t="s">
        <v>46</v>
      </c>
      <c r="I2474" s="47" t="s">
        <v>121</v>
      </c>
      <c r="J2474" s="47" t="s">
        <v>28</v>
      </c>
      <c r="K2474" s="47" t="s">
        <v>33</v>
      </c>
    </row>
    <row r="2475" customFormat="false" ht="15" hidden="false" customHeight="false" outlineLevel="0" collapsed="false">
      <c r="A2475" s="0" t="s">
        <v>3621</v>
      </c>
      <c r="B2475" s="0" t="s">
        <v>907</v>
      </c>
      <c r="D2475" s="46" t="n">
        <v>45984</v>
      </c>
      <c r="E2475" s="47" t="s">
        <v>60</v>
      </c>
      <c r="F2475" s="48" t="n">
        <v>68246.41</v>
      </c>
      <c r="G2475" s="47" t="s">
        <v>68</v>
      </c>
      <c r="H2475" s="47" t="s">
        <v>43</v>
      </c>
      <c r="I2475" s="47" t="s">
        <v>102</v>
      </c>
      <c r="J2475" s="47" t="s">
        <v>28</v>
      </c>
      <c r="K2475" s="47" t="s">
        <v>34</v>
      </c>
    </row>
    <row r="2476" customFormat="false" ht="15" hidden="false" customHeight="false" outlineLevel="0" collapsed="false">
      <c r="A2476" s="0" t="s">
        <v>3622</v>
      </c>
      <c r="B2476" s="0" t="s">
        <v>160</v>
      </c>
      <c r="D2476" s="46" t="n">
        <v>46288</v>
      </c>
      <c r="E2476" s="47" t="s">
        <v>58</v>
      </c>
      <c r="F2476" s="48" t="n">
        <v>139625.67</v>
      </c>
      <c r="G2476" s="47" t="s">
        <v>57</v>
      </c>
      <c r="H2476" s="47" t="s">
        <v>44</v>
      </c>
      <c r="I2476" s="47" t="s">
        <v>132</v>
      </c>
      <c r="J2476" s="47" t="s">
        <v>28</v>
      </c>
      <c r="K2476" s="47" t="s">
        <v>34</v>
      </c>
    </row>
    <row r="2477" customFormat="false" ht="15" hidden="false" customHeight="false" outlineLevel="0" collapsed="false">
      <c r="A2477" s="0" t="s">
        <v>3623</v>
      </c>
      <c r="B2477" s="0" t="s">
        <v>2864</v>
      </c>
      <c r="D2477" s="46" t="n">
        <v>46062</v>
      </c>
      <c r="E2477" s="47" t="s">
        <v>59</v>
      </c>
      <c r="F2477" s="48" t="n">
        <v>159948.08</v>
      </c>
      <c r="G2477" s="47" t="s">
        <v>66</v>
      </c>
      <c r="H2477" s="47" t="s">
        <v>42</v>
      </c>
      <c r="I2477" s="47" t="s">
        <v>105</v>
      </c>
      <c r="J2477" s="47" t="s">
        <v>28</v>
      </c>
      <c r="K2477" s="47" t="s">
        <v>33</v>
      </c>
    </row>
    <row r="2478" customFormat="false" ht="15" hidden="false" customHeight="false" outlineLevel="0" collapsed="false">
      <c r="A2478" s="0" t="s">
        <v>3624</v>
      </c>
      <c r="B2478" s="0" t="s">
        <v>753</v>
      </c>
      <c r="D2478" s="46" t="n">
        <v>45926</v>
      </c>
      <c r="E2478" s="47" t="s">
        <v>55</v>
      </c>
      <c r="F2478" s="48" t="n">
        <v>6647.17</v>
      </c>
      <c r="G2478" s="47" t="s">
        <v>66</v>
      </c>
      <c r="H2478" s="47" t="s">
        <v>46</v>
      </c>
      <c r="I2478" s="47" t="s">
        <v>242</v>
      </c>
      <c r="J2478" s="47" t="s">
        <v>28</v>
      </c>
      <c r="K2478" s="47" t="s">
        <v>34</v>
      </c>
    </row>
    <row r="2479" customFormat="false" ht="15" hidden="false" customHeight="false" outlineLevel="0" collapsed="false">
      <c r="A2479" s="0" t="s">
        <v>3625</v>
      </c>
      <c r="B2479" s="0" t="s">
        <v>774</v>
      </c>
      <c r="D2479" s="46" t="n">
        <v>45843</v>
      </c>
      <c r="E2479" s="47" t="s">
        <v>58</v>
      </c>
      <c r="F2479" s="48" t="n">
        <v>199608.46</v>
      </c>
      <c r="G2479" s="47" t="s">
        <v>65</v>
      </c>
      <c r="H2479" s="47" t="s">
        <v>47</v>
      </c>
      <c r="I2479" s="47" t="s">
        <v>245</v>
      </c>
      <c r="J2479" s="47" t="s">
        <v>28</v>
      </c>
      <c r="K2479" s="47" t="s">
        <v>33</v>
      </c>
    </row>
    <row r="2480" customFormat="false" ht="15" hidden="false" customHeight="false" outlineLevel="0" collapsed="false">
      <c r="A2480" s="0" t="s">
        <v>3626</v>
      </c>
      <c r="B2480" s="0" t="s">
        <v>506</v>
      </c>
      <c r="C2480" s="0" t="s">
        <v>2785</v>
      </c>
      <c r="D2480" s="46" t="n">
        <v>45673</v>
      </c>
      <c r="E2480" s="47" t="s">
        <v>62</v>
      </c>
      <c r="F2480" s="48" t="n">
        <v>198850.64</v>
      </c>
      <c r="G2480" s="47" t="s">
        <v>57</v>
      </c>
      <c r="H2480" s="47" t="s">
        <v>40</v>
      </c>
      <c r="I2480" s="47" t="s">
        <v>89</v>
      </c>
      <c r="J2480" s="47" t="s">
        <v>30</v>
      </c>
      <c r="K2480" s="47" t="s">
        <v>33</v>
      </c>
    </row>
    <row r="2481" customFormat="false" ht="15" hidden="false" customHeight="false" outlineLevel="0" collapsed="false">
      <c r="A2481" s="0" t="s">
        <v>3627</v>
      </c>
      <c r="B2481" s="0" t="s">
        <v>1927</v>
      </c>
      <c r="D2481" s="46" t="n">
        <v>45832</v>
      </c>
      <c r="E2481" s="47" t="s">
        <v>62</v>
      </c>
      <c r="F2481" s="48" t="n">
        <v>17988.83</v>
      </c>
      <c r="G2481" s="47" t="s">
        <v>57</v>
      </c>
      <c r="H2481" s="47" t="s">
        <v>47</v>
      </c>
      <c r="I2481" s="47" t="s">
        <v>108</v>
      </c>
      <c r="J2481" s="47" t="s">
        <v>28</v>
      </c>
      <c r="K2481" s="47" t="s">
        <v>34</v>
      </c>
    </row>
    <row r="2482" customFormat="false" ht="15" hidden="false" customHeight="false" outlineLevel="0" collapsed="false">
      <c r="A2482" s="0" t="s">
        <v>3628</v>
      </c>
      <c r="B2482" s="0" t="s">
        <v>330</v>
      </c>
      <c r="D2482" s="46" t="n">
        <v>46156</v>
      </c>
      <c r="E2482" s="47" t="s">
        <v>62</v>
      </c>
      <c r="F2482" s="48" t="n">
        <v>11616.16</v>
      </c>
      <c r="G2482" s="47" t="s">
        <v>53</v>
      </c>
      <c r="H2482" s="47" t="s">
        <v>43</v>
      </c>
      <c r="I2482" s="47" t="s">
        <v>201</v>
      </c>
      <c r="J2482" s="47" t="s">
        <v>28</v>
      </c>
      <c r="K2482" s="47" t="s">
        <v>33</v>
      </c>
    </row>
    <row r="2483" customFormat="false" ht="15" hidden="false" customHeight="false" outlineLevel="0" collapsed="false">
      <c r="A2483" s="0" t="s">
        <v>3629</v>
      </c>
      <c r="B2483" s="0" t="s">
        <v>2580</v>
      </c>
      <c r="D2483" s="46" t="n">
        <v>46107</v>
      </c>
      <c r="E2483" s="47" t="s">
        <v>62</v>
      </c>
      <c r="F2483" s="48" t="n">
        <v>83151.78</v>
      </c>
      <c r="G2483" s="47" t="s">
        <v>57</v>
      </c>
      <c r="H2483" s="47" t="s">
        <v>48</v>
      </c>
      <c r="I2483" s="47" t="s">
        <v>111</v>
      </c>
      <c r="J2483" s="47" t="s">
        <v>28</v>
      </c>
      <c r="K2483" s="47" t="s">
        <v>34</v>
      </c>
    </row>
    <row r="2484" customFormat="false" ht="15" hidden="false" customHeight="false" outlineLevel="0" collapsed="false">
      <c r="A2484" s="0" t="s">
        <v>3630</v>
      </c>
      <c r="B2484" s="0" t="s">
        <v>1534</v>
      </c>
      <c r="D2484" s="46" t="n">
        <v>45772</v>
      </c>
      <c r="E2484" s="47" t="s">
        <v>53</v>
      </c>
      <c r="F2484" s="48" t="n">
        <v>178345.88</v>
      </c>
      <c r="G2484" s="47" t="s">
        <v>66</v>
      </c>
      <c r="H2484" s="47" t="s">
        <v>39</v>
      </c>
      <c r="I2484" s="47" t="s">
        <v>177</v>
      </c>
      <c r="J2484" s="47" t="s">
        <v>28</v>
      </c>
      <c r="K2484" s="47" t="s">
        <v>34</v>
      </c>
    </row>
    <row r="2485" customFormat="false" ht="15" hidden="false" customHeight="false" outlineLevel="0" collapsed="false">
      <c r="A2485" s="0" t="s">
        <v>3631</v>
      </c>
      <c r="B2485" s="0" t="s">
        <v>3096</v>
      </c>
      <c r="D2485" s="46" t="n">
        <v>45928</v>
      </c>
      <c r="E2485" s="47" t="s">
        <v>61</v>
      </c>
      <c r="F2485" s="48" t="n">
        <v>110427.24</v>
      </c>
      <c r="G2485" s="47" t="s">
        <v>68</v>
      </c>
      <c r="H2485" s="47" t="s">
        <v>40</v>
      </c>
      <c r="I2485" s="47" t="s">
        <v>89</v>
      </c>
      <c r="J2485" s="47" t="s">
        <v>28</v>
      </c>
      <c r="K2485" s="47" t="s">
        <v>33</v>
      </c>
    </row>
    <row r="2486" customFormat="false" ht="15" hidden="false" customHeight="false" outlineLevel="0" collapsed="false">
      <c r="A2486" s="0" t="s">
        <v>3632</v>
      </c>
      <c r="B2486" s="0" t="s">
        <v>2207</v>
      </c>
      <c r="D2486" s="46" t="n">
        <v>45779</v>
      </c>
      <c r="E2486" s="47" t="s">
        <v>58</v>
      </c>
      <c r="F2486" s="48" t="n">
        <v>62788.43</v>
      </c>
      <c r="G2486" s="47" t="s">
        <v>57</v>
      </c>
      <c r="H2486" s="47" t="s">
        <v>43</v>
      </c>
      <c r="I2486" s="47" t="s">
        <v>102</v>
      </c>
      <c r="J2486" s="47" t="s">
        <v>28</v>
      </c>
      <c r="K2486" s="47" t="s">
        <v>34</v>
      </c>
    </row>
    <row r="2487" customFormat="false" ht="15" hidden="false" customHeight="false" outlineLevel="0" collapsed="false">
      <c r="A2487" s="0" t="s">
        <v>3633</v>
      </c>
      <c r="B2487" s="0" t="s">
        <v>3147</v>
      </c>
      <c r="D2487" s="46" t="n">
        <v>45951</v>
      </c>
      <c r="E2487" s="47" t="s">
        <v>61</v>
      </c>
      <c r="F2487" s="48" t="n">
        <v>29747.22</v>
      </c>
      <c r="G2487" s="47" t="s">
        <v>65</v>
      </c>
      <c r="H2487" s="47" t="s">
        <v>47</v>
      </c>
      <c r="I2487" s="47" t="s">
        <v>166</v>
      </c>
      <c r="J2487" s="47" t="s">
        <v>28</v>
      </c>
      <c r="K2487" s="47" t="s">
        <v>34</v>
      </c>
    </row>
    <row r="2488" customFormat="false" ht="15" hidden="false" customHeight="false" outlineLevel="0" collapsed="false">
      <c r="A2488" s="0" t="s">
        <v>3634</v>
      </c>
      <c r="B2488" s="0" t="s">
        <v>2097</v>
      </c>
      <c r="D2488" s="46" t="n">
        <v>45877</v>
      </c>
      <c r="E2488" s="47" t="s">
        <v>53</v>
      </c>
      <c r="F2488" s="48" t="n">
        <v>119873.55</v>
      </c>
      <c r="G2488" s="47" t="s">
        <v>66</v>
      </c>
      <c r="H2488" s="47" t="s">
        <v>40</v>
      </c>
      <c r="I2488" s="47" t="s">
        <v>89</v>
      </c>
      <c r="J2488" s="47" t="s">
        <v>28</v>
      </c>
      <c r="K2488" s="47" t="s">
        <v>34</v>
      </c>
    </row>
    <row r="2489" customFormat="false" ht="15" hidden="false" customHeight="false" outlineLevel="0" collapsed="false">
      <c r="A2489" s="0" t="s">
        <v>3635</v>
      </c>
      <c r="B2489" s="0" t="s">
        <v>3497</v>
      </c>
      <c r="D2489" s="46" t="n">
        <v>45676</v>
      </c>
      <c r="E2489" s="47" t="s">
        <v>60</v>
      </c>
      <c r="F2489" s="48" t="n">
        <v>84517.09</v>
      </c>
      <c r="G2489" s="47" t="s">
        <v>53</v>
      </c>
      <c r="H2489" s="47" t="s">
        <v>46</v>
      </c>
      <c r="I2489" s="47" t="s">
        <v>148</v>
      </c>
      <c r="J2489" s="47" t="s">
        <v>28</v>
      </c>
      <c r="K2489" s="47" t="s">
        <v>34</v>
      </c>
    </row>
    <row r="2490" customFormat="false" ht="15" hidden="false" customHeight="false" outlineLevel="0" collapsed="false">
      <c r="A2490" s="0" t="s">
        <v>3636</v>
      </c>
      <c r="B2490" s="0" t="s">
        <v>873</v>
      </c>
      <c r="D2490" s="46" t="n">
        <v>46217</v>
      </c>
      <c r="E2490" s="47" t="s">
        <v>53</v>
      </c>
      <c r="F2490" s="48" t="n">
        <v>150478.24</v>
      </c>
      <c r="G2490" s="47" t="s">
        <v>66</v>
      </c>
      <c r="H2490" s="47" t="s">
        <v>42</v>
      </c>
      <c r="I2490" s="47" t="s">
        <v>398</v>
      </c>
      <c r="J2490" s="47" t="s">
        <v>28</v>
      </c>
      <c r="K2490" s="47" t="s">
        <v>33</v>
      </c>
    </row>
    <row r="2491" customFormat="false" ht="15" hidden="false" customHeight="false" outlineLevel="0" collapsed="false">
      <c r="A2491" s="0" t="s">
        <v>3637</v>
      </c>
      <c r="B2491" s="0" t="s">
        <v>358</v>
      </c>
      <c r="C2491" s="0" t="s">
        <v>3638</v>
      </c>
      <c r="D2491" s="46" t="n">
        <v>45894</v>
      </c>
      <c r="E2491" s="47" t="s">
        <v>59</v>
      </c>
      <c r="F2491" s="48" t="n">
        <v>185279.54</v>
      </c>
      <c r="G2491" s="47" t="s">
        <v>57</v>
      </c>
      <c r="H2491" s="47" t="s">
        <v>47</v>
      </c>
      <c r="I2491" s="47" t="s">
        <v>166</v>
      </c>
      <c r="J2491" s="47" t="s">
        <v>28</v>
      </c>
      <c r="K2491" s="47" t="s">
        <v>34</v>
      </c>
    </row>
    <row r="2492" customFormat="false" ht="15" hidden="false" customHeight="false" outlineLevel="0" collapsed="false">
      <c r="A2492" s="0" t="s">
        <v>3639</v>
      </c>
      <c r="B2492" s="0" t="s">
        <v>235</v>
      </c>
      <c r="D2492" s="46" t="n">
        <v>45822</v>
      </c>
      <c r="E2492" s="47" t="s">
        <v>53</v>
      </c>
      <c r="F2492" s="48" t="n">
        <v>11546.49</v>
      </c>
      <c r="G2492" s="47" t="s">
        <v>68</v>
      </c>
      <c r="H2492" s="47" t="s">
        <v>47</v>
      </c>
      <c r="I2492" s="47" t="s">
        <v>108</v>
      </c>
      <c r="J2492" s="47" t="s">
        <v>28</v>
      </c>
      <c r="K2492" s="47" t="s">
        <v>34</v>
      </c>
    </row>
    <row r="2493" customFormat="false" ht="15" hidden="false" customHeight="false" outlineLevel="0" collapsed="false">
      <c r="A2493" s="0" t="s">
        <v>3640</v>
      </c>
      <c r="B2493" s="0" t="s">
        <v>873</v>
      </c>
      <c r="D2493" s="46" t="n">
        <v>45970</v>
      </c>
      <c r="E2493" s="47" t="s">
        <v>55</v>
      </c>
      <c r="F2493" s="48" t="n">
        <v>142560.92</v>
      </c>
      <c r="G2493" s="47" t="s">
        <v>53</v>
      </c>
      <c r="H2493" s="47" t="s">
        <v>42</v>
      </c>
      <c r="I2493" s="47" t="s">
        <v>398</v>
      </c>
      <c r="J2493" s="47" t="s">
        <v>30</v>
      </c>
      <c r="K2493" s="47" t="s">
        <v>34</v>
      </c>
    </row>
    <row r="2494" customFormat="false" ht="15" hidden="false" customHeight="false" outlineLevel="0" collapsed="false">
      <c r="A2494" s="0" t="s">
        <v>3641</v>
      </c>
      <c r="B2494" s="0" t="s">
        <v>828</v>
      </c>
      <c r="D2494" s="46" t="n">
        <v>46187</v>
      </c>
      <c r="E2494" s="47" t="s">
        <v>59</v>
      </c>
      <c r="F2494" s="48" t="n">
        <v>53886.04</v>
      </c>
      <c r="G2494" s="47" t="s">
        <v>68</v>
      </c>
      <c r="H2494" s="47" t="s">
        <v>45</v>
      </c>
      <c r="I2494" s="47" t="s">
        <v>217</v>
      </c>
      <c r="J2494" s="47" t="s">
        <v>28</v>
      </c>
      <c r="K2494" s="47" t="s">
        <v>34</v>
      </c>
    </row>
    <row r="2495" customFormat="false" ht="15" hidden="false" customHeight="false" outlineLevel="0" collapsed="false">
      <c r="A2495" s="0" t="s">
        <v>3642</v>
      </c>
      <c r="B2495" s="0" t="s">
        <v>3643</v>
      </c>
      <c r="D2495" s="46" t="n">
        <v>45877</v>
      </c>
      <c r="E2495" s="47" t="s">
        <v>59</v>
      </c>
      <c r="F2495" s="48" t="n">
        <v>32570.99</v>
      </c>
      <c r="G2495" s="47" t="s">
        <v>53</v>
      </c>
      <c r="H2495" s="47" t="s">
        <v>43</v>
      </c>
      <c r="I2495" s="47" t="s">
        <v>201</v>
      </c>
      <c r="J2495" s="47" t="s">
        <v>28</v>
      </c>
      <c r="K2495" s="47" t="s">
        <v>33</v>
      </c>
    </row>
    <row r="2496" customFormat="false" ht="15" hidden="false" customHeight="false" outlineLevel="0" collapsed="false">
      <c r="A2496" s="0" t="s">
        <v>3644</v>
      </c>
      <c r="B2496" s="0" t="s">
        <v>1767</v>
      </c>
      <c r="D2496" s="46" t="n">
        <v>46044</v>
      </c>
      <c r="E2496" s="47" t="s">
        <v>62</v>
      </c>
      <c r="F2496" s="48" t="n">
        <v>64864.1</v>
      </c>
      <c r="G2496" s="47" t="s">
        <v>57</v>
      </c>
      <c r="H2496" s="47" t="s">
        <v>46</v>
      </c>
      <c r="I2496" s="47" t="s">
        <v>242</v>
      </c>
      <c r="J2496" s="47" t="s">
        <v>29</v>
      </c>
      <c r="K2496" s="47" t="s">
        <v>33</v>
      </c>
    </row>
    <row r="2497" customFormat="false" ht="15" hidden="false" customHeight="false" outlineLevel="0" collapsed="false">
      <c r="A2497" s="0" t="s">
        <v>3645</v>
      </c>
      <c r="B2497" s="0" t="s">
        <v>782</v>
      </c>
      <c r="D2497" s="46" t="n">
        <v>45967</v>
      </c>
      <c r="E2497" s="47" t="s">
        <v>53</v>
      </c>
      <c r="F2497" s="48" t="n">
        <v>124913.29</v>
      </c>
      <c r="G2497" s="47" t="s">
        <v>66</v>
      </c>
      <c r="H2497" s="47" t="s">
        <v>39</v>
      </c>
      <c r="I2497" s="47" t="s">
        <v>98</v>
      </c>
      <c r="J2497" s="47" t="s">
        <v>28</v>
      </c>
      <c r="K2497" s="47" t="s">
        <v>33</v>
      </c>
    </row>
    <row r="2498" customFormat="false" ht="15" hidden="false" customHeight="false" outlineLevel="0" collapsed="false">
      <c r="A2498" s="0" t="s">
        <v>3646</v>
      </c>
      <c r="B2498" s="0" t="s">
        <v>1068</v>
      </c>
      <c r="D2498" s="46" t="n">
        <v>45803</v>
      </c>
      <c r="E2498" s="47" t="s">
        <v>61</v>
      </c>
      <c r="F2498" s="48" t="n">
        <v>107588.82</v>
      </c>
      <c r="G2498" s="47" t="s">
        <v>65</v>
      </c>
      <c r="H2498" s="47" t="s">
        <v>41</v>
      </c>
      <c r="I2498" s="47" t="s">
        <v>86</v>
      </c>
      <c r="J2498" s="47" t="s">
        <v>28</v>
      </c>
      <c r="K2498" s="47" t="s">
        <v>33</v>
      </c>
    </row>
    <row r="2499" customFormat="false" ht="15" hidden="false" customHeight="false" outlineLevel="0" collapsed="false">
      <c r="A2499" s="0" t="s">
        <v>3647</v>
      </c>
      <c r="B2499" s="0" t="s">
        <v>3648</v>
      </c>
      <c r="D2499" s="46" t="n">
        <v>46133</v>
      </c>
      <c r="E2499" s="47" t="s">
        <v>53</v>
      </c>
      <c r="F2499" s="48" t="n">
        <v>67926.77</v>
      </c>
      <c r="G2499" s="47" t="s">
        <v>65</v>
      </c>
      <c r="H2499" s="47" t="s">
        <v>42</v>
      </c>
      <c r="I2499" s="47" t="s">
        <v>137</v>
      </c>
      <c r="J2499" s="47" t="s">
        <v>28</v>
      </c>
      <c r="K2499" s="47" t="s">
        <v>34</v>
      </c>
    </row>
    <row r="2500" customFormat="false" ht="15" hidden="false" customHeight="false" outlineLevel="0" collapsed="false">
      <c r="A2500" s="0" t="s">
        <v>3649</v>
      </c>
      <c r="B2500" s="0" t="s">
        <v>2153</v>
      </c>
      <c r="D2500" s="46" t="n">
        <v>45940</v>
      </c>
      <c r="E2500" s="47" t="s">
        <v>61</v>
      </c>
      <c r="F2500" s="48" t="n">
        <v>111922.59</v>
      </c>
      <c r="G2500" s="47" t="s">
        <v>53</v>
      </c>
      <c r="H2500" s="47" t="s">
        <v>39</v>
      </c>
      <c r="I2500" s="47" t="s">
        <v>145</v>
      </c>
      <c r="J2500" s="47" t="s">
        <v>28</v>
      </c>
      <c r="K2500" s="47" t="s">
        <v>34</v>
      </c>
    </row>
    <row r="2501" customFormat="false" ht="15" hidden="false" customHeight="false" outlineLevel="0" collapsed="false">
      <c r="A2501" s="0" t="s">
        <v>3650</v>
      </c>
      <c r="B2501" s="0" t="s">
        <v>1311</v>
      </c>
      <c r="C2501" s="0" t="s">
        <v>3651</v>
      </c>
      <c r="D2501" s="46" t="n">
        <v>45890</v>
      </c>
      <c r="E2501" s="47" t="s">
        <v>55</v>
      </c>
      <c r="F2501" s="48" t="n">
        <v>125645.94</v>
      </c>
      <c r="G2501" s="47" t="s">
        <v>65</v>
      </c>
      <c r="H2501" s="47" t="s">
        <v>45</v>
      </c>
      <c r="I2501" s="47" t="s">
        <v>151</v>
      </c>
      <c r="J2501" s="47" t="s">
        <v>28</v>
      </c>
      <c r="K2501" s="47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7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45" t="s">
        <v>3652</v>
      </c>
      <c r="B1" s="45" t="s">
        <v>36</v>
      </c>
      <c r="C1" s="45" t="s">
        <v>57</v>
      </c>
      <c r="D1" s="45" t="s">
        <v>3653</v>
      </c>
    </row>
    <row r="2" customFormat="false" ht="15" hidden="false" customHeight="false" outlineLevel="0" collapsed="false">
      <c r="A2" s="0" t="s">
        <v>3654</v>
      </c>
      <c r="B2" s="0" t="s">
        <v>41</v>
      </c>
      <c r="C2" s="0" t="s">
        <v>272</v>
      </c>
      <c r="D2" s="0" t="s">
        <v>3655</v>
      </c>
    </row>
    <row r="3" customFormat="false" ht="15" hidden="false" customHeight="false" outlineLevel="0" collapsed="false">
      <c r="A3" s="0" t="s">
        <v>3656</v>
      </c>
      <c r="B3" s="0" t="s">
        <v>41</v>
      </c>
      <c r="C3" s="0" t="s">
        <v>86</v>
      </c>
      <c r="D3" s="0" t="s">
        <v>3657</v>
      </c>
    </row>
    <row r="4" customFormat="false" ht="15" hidden="false" customHeight="false" outlineLevel="0" collapsed="false">
      <c r="A4" s="0" t="s">
        <v>3658</v>
      </c>
      <c r="B4" s="0" t="s">
        <v>41</v>
      </c>
      <c r="C4" s="0" t="s">
        <v>293</v>
      </c>
      <c r="D4" s="0" t="s">
        <v>3657</v>
      </c>
    </row>
    <row r="5" customFormat="false" ht="15" hidden="false" customHeight="false" outlineLevel="0" collapsed="false">
      <c r="A5" s="0" t="s">
        <v>3659</v>
      </c>
      <c r="B5" s="0" t="s">
        <v>46</v>
      </c>
      <c r="C5" s="0" t="s">
        <v>242</v>
      </c>
      <c r="D5" s="0" t="s">
        <v>3655</v>
      </c>
    </row>
    <row r="6" customFormat="false" ht="15" hidden="false" customHeight="false" outlineLevel="0" collapsed="false">
      <c r="A6" s="0" t="s">
        <v>3660</v>
      </c>
      <c r="B6" s="0" t="s">
        <v>46</v>
      </c>
      <c r="C6" s="0" t="s">
        <v>121</v>
      </c>
      <c r="D6" s="0" t="s">
        <v>3657</v>
      </c>
    </row>
    <row r="7" customFormat="false" ht="15" hidden="false" customHeight="false" outlineLevel="0" collapsed="false">
      <c r="A7" s="0" t="s">
        <v>3661</v>
      </c>
      <c r="B7" s="0" t="s">
        <v>46</v>
      </c>
      <c r="C7" s="0" t="s">
        <v>148</v>
      </c>
      <c r="D7" s="0" t="s">
        <v>3655</v>
      </c>
    </row>
    <row r="8" customFormat="false" ht="15" hidden="false" customHeight="false" outlineLevel="0" collapsed="false">
      <c r="A8" s="0" t="s">
        <v>3662</v>
      </c>
      <c r="B8" s="0" t="s">
        <v>39</v>
      </c>
      <c r="C8" s="0" t="s">
        <v>177</v>
      </c>
      <c r="D8" s="0" t="s">
        <v>3655</v>
      </c>
    </row>
    <row r="9" customFormat="false" ht="15" hidden="false" customHeight="false" outlineLevel="0" collapsed="false">
      <c r="A9" s="0" t="s">
        <v>3663</v>
      </c>
      <c r="B9" s="0" t="s">
        <v>39</v>
      </c>
      <c r="C9" s="0" t="s">
        <v>98</v>
      </c>
      <c r="D9" s="0" t="s">
        <v>3655</v>
      </c>
    </row>
    <row r="10" customFormat="false" ht="15" hidden="false" customHeight="false" outlineLevel="0" collapsed="false">
      <c r="A10" s="0" t="s">
        <v>3664</v>
      </c>
      <c r="B10" s="0" t="s">
        <v>39</v>
      </c>
      <c r="C10" s="0" t="s">
        <v>145</v>
      </c>
      <c r="D10" s="0" t="s">
        <v>3665</v>
      </c>
    </row>
    <row r="11" customFormat="false" ht="15" hidden="false" customHeight="false" outlineLevel="0" collapsed="false">
      <c r="A11" s="0" t="s">
        <v>3666</v>
      </c>
      <c r="B11" s="0" t="s">
        <v>42</v>
      </c>
      <c r="C11" s="0" t="s">
        <v>398</v>
      </c>
      <c r="D11" s="0" t="s">
        <v>3665</v>
      </c>
    </row>
    <row r="12" customFormat="false" ht="15" hidden="false" customHeight="false" outlineLevel="0" collapsed="false">
      <c r="A12" s="0" t="s">
        <v>3667</v>
      </c>
      <c r="B12" s="0" t="s">
        <v>42</v>
      </c>
      <c r="C12" s="0" t="s">
        <v>137</v>
      </c>
      <c r="D12" s="0" t="s">
        <v>3657</v>
      </c>
    </row>
    <row r="13" customFormat="false" ht="15" hidden="false" customHeight="false" outlineLevel="0" collapsed="false">
      <c r="A13" s="0" t="s">
        <v>3668</v>
      </c>
      <c r="B13" s="0" t="s">
        <v>42</v>
      </c>
      <c r="C13" s="0" t="s">
        <v>105</v>
      </c>
      <c r="D13" s="0" t="s">
        <v>3657</v>
      </c>
    </row>
    <row r="14" customFormat="false" ht="15" hidden="false" customHeight="false" outlineLevel="0" collapsed="false">
      <c r="A14" s="0" t="s">
        <v>3669</v>
      </c>
      <c r="B14" s="0" t="s">
        <v>48</v>
      </c>
      <c r="C14" s="0" t="s">
        <v>111</v>
      </c>
      <c r="D14" s="0" t="s">
        <v>3665</v>
      </c>
    </row>
    <row r="15" customFormat="false" ht="15" hidden="false" customHeight="false" outlineLevel="0" collapsed="false">
      <c r="A15" s="0" t="s">
        <v>3670</v>
      </c>
      <c r="B15" s="0" t="s">
        <v>48</v>
      </c>
      <c r="C15" s="0" t="s">
        <v>212</v>
      </c>
      <c r="D15" s="0" t="s">
        <v>3655</v>
      </c>
    </row>
    <row r="16" customFormat="false" ht="15" hidden="false" customHeight="false" outlineLevel="0" collapsed="false">
      <c r="A16" s="0" t="s">
        <v>3671</v>
      </c>
      <c r="B16" s="0" t="s">
        <v>48</v>
      </c>
      <c r="C16" s="0" t="s">
        <v>114</v>
      </c>
      <c r="D16" s="0" t="s">
        <v>3665</v>
      </c>
    </row>
    <row r="17" customFormat="false" ht="15" hidden="false" customHeight="false" outlineLevel="0" collapsed="false">
      <c r="A17" s="0" t="s">
        <v>3672</v>
      </c>
      <c r="B17" s="0" t="s">
        <v>45</v>
      </c>
      <c r="C17" s="0" t="s">
        <v>95</v>
      </c>
      <c r="D17" s="0" t="s">
        <v>3655</v>
      </c>
    </row>
    <row r="18" customFormat="false" ht="15" hidden="false" customHeight="false" outlineLevel="0" collapsed="false">
      <c r="A18" s="0" t="s">
        <v>3673</v>
      </c>
      <c r="B18" s="0" t="s">
        <v>45</v>
      </c>
      <c r="C18" s="0" t="s">
        <v>217</v>
      </c>
      <c r="D18" s="0" t="s">
        <v>3655</v>
      </c>
    </row>
    <row r="19" customFormat="false" ht="15" hidden="false" customHeight="false" outlineLevel="0" collapsed="false">
      <c r="A19" s="0" t="s">
        <v>3674</v>
      </c>
      <c r="B19" s="0" t="s">
        <v>45</v>
      </c>
      <c r="C19" s="0" t="s">
        <v>151</v>
      </c>
      <c r="D19" s="0" t="s">
        <v>3665</v>
      </c>
    </row>
    <row r="20" customFormat="false" ht="15" hidden="false" customHeight="false" outlineLevel="0" collapsed="false">
      <c r="A20" s="0" t="s">
        <v>3675</v>
      </c>
      <c r="B20" s="0" t="s">
        <v>47</v>
      </c>
      <c r="C20" s="0" t="s">
        <v>166</v>
      </c>
      <c r="D20" s="0" t="s">
        <v>3665</v>
      </c>
    </row>
    <row r="21" customFormat="false" ht="15" hidden="false" customHeight="false" outlineLevel="0" collapsed="false">
      <c r="A21" s="0" t="s">
        <v>3676</v>
      </c>
      <c r="B21" s="0" t="s">
        <v>47</v>
      </c>
      <c r="C21" s="0" t="s">
        <v>108</v>
      </c>
      <c r="D21" s="0" t="s">
        <v>3657</v>
      </c>
    </row>
    <row r="22" customFormat="false" ht="15" hidden="false" customHeight="false" outlineLevel="0" collapsed="false">
      <c r="A22" s="0" t="s">
        <v>3677</v>
      </c>
      <c r="B22" s="0" t="s">
        <v>47</v>
      </c>
      <c r="C22" s="0" t="s">
        <v>245</v>
      </c>
      <c r="D22" s="0" t="s">
        <v>3657</v>
      </c>
    </row>
    <row r="23" customFormat="false" ht="15" hidden="false" customHeight="false" outlineLevel="0" collapsed="false">
      <c r="A23" s="0" t="s">
        <v>3678</v>
      </c>
      <c r="B23" s="0" t="s">
        <v>43</v>
      </c>
      <c r="C23" s="0" t="s">
        <v>102</v>
      </c>
      <c r="D23" s="0" t="s">
        <v>3655</v>
      </c>
    </row>
    <row r="24" customFormat="false" ht="15" hidden="false" customHeight="false" outlineLevel="0" collapsed="false">
      <c r="A24" s="0" t="s">
        <v>3679</v>
      </c>
      <c r="B24" s="0" t="s">
        <v>43</v>
      </c>
      <c r="C24" s="0" t="s">
        <v>201</v>
      </c>
      <c r="D24" s="0" t="s">
        <v>3665</v>
      </c>
    </row>
    <row r="25" customFormat="false" ht="15" hidden="false" customHeight="false" outlineLevel="0" collapsed="false">
      <c r="A25" s="0" t="s">
        <v>3680</v>
      </c>
      <c r="B25" s="0" t="s">
        <v>43</v>
      </c>
      <c r="C25" s="0" t="s">
        <v>117</v>
      </c>
      <c r="D25" s="0" t="s">
        <v>3657</v>
      </c>
    </row>
    <row r="26" customFormat="false" ht="15" hidden="false" customHeight="false" outlineLevel="0" collapsed="false">
      <c r="A26" s="0" t="s">
        <v>3681</v>
      </c>
      <c r="B26" s="0" t="s">
        <v>44</v>
      </c>
      <c r="C26" s="0" t="s">
        <v>132</v>
      </c>
      <c r="D26" s="0" t="s">
        <v>3665</v>
      </c>
    </row>
    <row r="27" customFormat="false" ht="15" hidden="false" customHeight="false" outlineLevel="0" collapsed="false">
      <c r="A27" s="0" t="s">
        <v>3682</v>
      </c>
      <c r="B27" s="0" t="s">
        <v>44</v>
      </c>
      <c r="C27" s="0" t="s">
        <v>80</v>
      </c>
      <c r="D27" s="0" t="s">
        <v>3665</v>
      </c>
    </row>
    <row r="28" customFormat="false" ht="15" hidden="false" customHeight="false" outlineLevel="0" collapsed="false">
      <c r="A28" s="0" t="s">
        <v>3683</v>
      </c>
      <c r="B28" s="0" t="s">
        <v>44</v>
      </c>
      <c r="C28" s="0" t="s">
        <v>226</v>
      </c>
      <c r="D28" s="0" t="s">
        <v>3657</v>
      </c>
    </row>
    <row r="29" customFormat="false" ht="15" hidden="false" customHeight="false" outlineLevel="0" collapsed="false">
      <c r="A29" s="0" t="s">
        <v>3684</v>
      </c>
      <c r="B29" s="0" t="s">
        <v>40</v>
      </c>
      <c r="C29" s="0" t="s">
        <v>83</v>
      </c>
      <c r="D29" s="0" t="s">
        <v>3657</v>
      </c>
    </row>
    <row r="30" customFormat="false" ht="15" hidden="false" customHeight="false" outlineLevel="0" collapsed="false">
      <c r="A30" s="0" t="s">
        <v>3685</v>
      </c>
      <c r="B30" s="0" t="s">
        <v>40</v>
      </c>
      <c r="C30" s="0" t="s">
        <v>89</v>
      </c>
      <c r="D30" s="0" t="s">
        <v>3657</v>
      </c>
    </row>
    <row r="31" customFormat="false" ht="15" hidden="false" customHeight="false" outlineLevel="0" collapsed="false">
      <c r="A31" s="0" t="s">
        <v>3686</v>
      </c>
      <c r="B31" s="0" t="s">
        <v>40</v>
      </c>
      <c r="C31" s="0" t="s">
        <v>253</v>
      </c>
      <c r="D31" s="0" t="s">
        <v>3655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2026-10-01T15:19:13Z</dcterms:created>
  <dc:creator>openpyxl</dc:creator>
  <dc:description/>
  <dc:language>en-US</dc:language>
  <cp:lastModifiedBy/>
  <dcterms:modified xsi:type="dcterms:W3CDTF">2026-10-02T06:09:02Z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